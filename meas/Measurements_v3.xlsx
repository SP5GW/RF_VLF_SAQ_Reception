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F_VLF_SAQ_Reception\meas\"/>
    </mc:Choice>
  </mc:AlternateContent>
  <xr:revisionPtr revIDLastSave="0" documentId="13_ncr:1_{6E5D2A60-89BC-4D93-BFEB-8B73992C1F3C}" xr6:coauthVersionLast="47" xr6:coauthVersionMax="47" xr10:uidLastSave="{00000000-0000-0000-0000-000000000000}"/>
  <bookViews>
    <workbookView xWindow="-120" yWindow="-120" windowWidth="29040" windowHeight="15720" activeTab="1" xr2:uid="{CB450F67-C83A-4305-ACBC-60FD295E7ED8}"/>
  </bookViews>
  <sheets>
    <sheet name="Resonance_frequency" sheetId="1" r:id="rId1"/>
    <sheet name="Preamp_bandwid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2" l="1"/>
  <c r="S29" i="2"/>
  <c r="T29" i="2" s="1"/>
  <c r="S26" i="2"/>
  <c r="T26" i="2" s="1"/>
  <c r="T30" i="2"/>
  <c r="T31" i="2"/>
  <c r="T32" i="2"/>
  <c r="T33" i="2"/>
  <c r="T34" i="2"/>
  <c r="T35" i="2"/>
  <c r="T36" i="2"/>
  <c r="T37" i="2"/>
  <c r="T38" i="2"/>
  <c r="T39" i="2"/>
  <c r="T40" i="2"/>
  <c r="T41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7" i="2"/>
  <c r="T28" i="2"/>
  <c r="X9" i="2" s="1"/>
  <c r="E11" i="1"/>
  <c r="C46" i="2"/>
  <c r="X8" i="2" l="1"/>
</calcChain>
</file>

<file path=xl/sharedStrings.xml><?xml version="1.0" encoding="utf-8"?>
<sst xmlns="http://schemas.openxmlformats.org/spreadsheetml/2006/main" count="48" uniqueCount="37">
  <si>
    <t>mH</t>
  </si>
  <si>
    <t>nF</t>
  </si>
  <si>
    <t>f0</t>
  </si>
  <si>
    <t>3dB Bandwidth Measurement for SAQ pre-amp</t>
  </si>
  <si>
    <t>Setup</t>
  </si>
  <si>
    <t>Oscilloscope connected to preamp output - it measures preamp output voltage accross 1k load resistor, which is part of the curcuit</t>
  </si>
  <si>
    <t>Arbitrary waveform generator (AWG) connected directly to primary winding instead of antenna.</t>
  </si>
  <si>
    <t>It is assumed that preamps input LC tank is already tuned to 17.2kHz, i.e. circuits max. observed output voltage is seen at around this frequency</t>
  </si>
  <si>
    <t>center frequency: 17.2kHz</t>
  </si>
  <si>
    <t>2. Take a output voltage reading at center frequency</t>
  </si>
  <si>
    <t>3. Calculate coresponding -3dB voltage level</t>
  </si>
  <si>
    <t>6. Calculate bandwidth of preamp as BW = fmax - fmin [kHkz]</t>
  </si>
  <si>
    <t>f [kHz]</t>
  </si>
  <si>
    <t>Measurement Procedure</t>
  </si>
  <si>
    <t>4. Shift frequency to the left until output voltage drops by 0.708 of its maximum value (-3dB) and take a reading U1out(-3dB)[V] and fmin [kHz]</t>
  </si>
  <si>
    <t>5. Shift frequency to the right until output voltage drops by 0.708 of its maximum value (-3dB) and take a reading of U2out(-3dB)[V] and fmax [kHz]</t>
  </si>
  <si>
    <t>3dB line</t>
  </si>
  <si>
    <t>fmin</t>
  </si>
  <si>
    <t>fmax</t>
  </si>
  <si>
    <t>A[dB]</t>
  </si>
  <si>
    <t>C1</t>
  </si>
  <si>
    <t>C2</t>
  </si>
  <si>
    <t>L</t>
  </si>
  <si>
    <t>kHz</t>
  </si>
  <si>
    <t>LC tank</t>
  </si>
  <si>
    <t>when UTG962E frequency generator is connected directly to pre-amp input to shift resonance back to 17.2kHz, 22nF cap has to be added.</t>
  </si>
  <si>
    <t>Pout[dBm]</t>
  </si>
  <si>
    <t>Pout_norm[dB]</t>
  </si>
  <si>
    <t>1. Connect Arbitrary function generator (AWG) through 100kohm resistor connected in series with primary input transformer winding.</t>
  </si>
  <si>
    <t xml:space="preserve">2. Set  AWG according to below settings </t>
  </si>
  <si>
    <t xml:space="preserve"> This is to avoid pre-amp de-tunning, which occurs when AWG is connected directly to primary winding. </t>
  </si>
  <si>
    <t>Alternatively small capacitor (10-100pF) can be used, but this method has not been tested.</t>
  </si>
  <si>
    <t>output impedance: 50ohm (the value is does not really influence measurement)</t>
  </si>
  <si>
    <t>output amplitude: -30dBm</t>
  </si>
  <si>
    <t xml:space="preserve">During measurements make sure that AWGoutput voltage stays constants for all measurements. </t>
  </si>
  <si>
    <t>During my measurements I have noticed AWG gradual voltage drop below frequency of 15kHz. I have decided to not compensate for it.</t>
  </si>
  <si>
    <t>Note that obtaining measurements mentioned in point 4) and 5) is very difficult since pre-amp bandwidth is about 200kHz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</si>
</sst>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3" borderId="0" xfId="0" applyFill="1"/>
    <xf numFmtId="2" fontId="2" fillId="2" borderId="0" xfId="0" applyNumberFormat="1" applyFon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/>
    <xf numFmtId="2" fontId="0" fillId="4" borderId="0" xfId="0" applyNumberFormat="1" applyFill="1"/>
    <xf numFmtId="165" fontId="0" fillId="0" borderId="0" xfId="0" applyNumberFormat="1"/>
    <xf numFmtId="165" fontId="0" fillId="0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2" fontId="0" fillId="5" borderId="0" xfId="0" applyNumberFormat="1" applyFill="1"/>
    <xf numFmtId="2" fontId="0" fillId="0" borderId="0" xfId="0" applyNumberForma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Normalized pre-Amplifier</a:t>
            </a:r>
            <a:r>
              <a:rPr lang="pl-PL" baseline="0"/>
              <a:t> Frequency Response</a:t>
            </a:r>
            <a:endParaRPr lang="pl-PL"/>
          </a:p>
        </c:rich>
      </c:tx>
      <c:layout>
        <c:manualLayout>
          <c:xMode val="edge"/>
          <c:yMode val="edge"/>
          <c:x val="0.28465824735896933"/>
          <c:y val="3.9843528386272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25854108956601"/>
          <c:y val="0.12523624851035145"/>
          <c:w val="0.85188020572572942"/>
          <c:h val="0.75633874544084712"/>
        </c:manualLayout>
      </c:layout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Preamp_bandwidth!$R$9:$R$41</c:f>
              <c:numCache>
                <c:formatCode>0.000</c:formatCode>
                <c:ptCount val="3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16.8</c:v>
                </c:pt>
                <c:pt idx="13">
                  <c:v>16.899999999999999</c:v>
                </c:pt>
                <c:pt idx="14">
                  <c:v>17</c:v>
                </c:pt>
                <c:pt idx="15">
                  <c:v>17.100000000000001</c:v>
                </c:pt>
                <c:pt idx="16">
                  <c:v>17.2</c:v>
                </c:pt>
                <c:pt idx="17">
                  <c:v>17.260999999999999</c:v>
                </c:pt>
                <c:pt idx="18">
                  <c:v>17.3</c:v>
                </c:pt>
                <c:pt idx="19">
                  <c:v>17.399999999999999</c:v>
                </c:pt>
                <c:pt idx="20">
                  <c:v>17.466999999999999</c:v>
                </c:pt>
                <c:pt idx="21">
                  <c:v>17.5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</c:numCache>
            </c:numRef>
          </c:xVal>
          <c:yVal>
            <c:numRef>
              <c:f>Preamp_bandwidth!$T$9:$T$41</c:f>
              <c:numCache>
                <c:formatCode>0.00</c:formatCode>
                <c:ptCount val="33"/>
                <c:pt idx="0">
                  <c:v>-68.5</c:v>
                </c:pt>
                <c:pt idx="1">
                  <c:v>-62.3</c:v>
                </c:pt>
                <c:pt idx="2">
                  <c:v>-57.3</c:v>
                </c:pt>
                <c:pt idx="3">
                  <c:v>-53.2</c:v>
                </c:pt>
                <c:pt idx="4">
                  <c:v>-49.399999999999991</c:v>
                </c:pt>
                <c:pt idx="5">
                  <c:v>-46.099999999999994</c:v>
                </c:pt>
                <c:pt idx="6">
                  <c:v>-43</c:v>
                </c:pt>
                <c:pt idx="7">
                  <c:v>-40</c:v>
                </c:pt>
                <c:pt idx="8">
                  <c:v>-36.799999999999997</c:v>
                </c:pt>
                <c:pt idx="9">
                  <c:v>-33.5</c:v>
                </c:pt>
                <c:pt idx="10">
                  <c:v>-29.4</c:v>
                </c:pt>
                <c:pt idx="11">
                  <c:v>-23.799999999999997</c:v>
                </c:pt>
                <c:pt idx="12">
                  <c:v>-15.699999999999996</c:v>
                </c:pt>
                <c:pt idx="13">
                  <c:v>-13.799999999999997</c:v>
                </c:pt>
                <c:pt idx="14">
                  <c:v>-11.899999999999999</c:v>
                </c:pt>
                <c:pt idx="15">
                  <c:v>-9.2999999999999972</c:v>
                </c:pt>
                <c:pt idx="16">
                  <c:v>-5.7999999999999972</c:v>
                </c:pt>
                <c:pt idx="17">
                  <c:v>-3</c:v>
                </c:pt>
                <c:pt idx="18">
                  <c:v>-1.2999999999999972</c:v>
                </c:pt>
                <c:pt idx="19">
                  <c:v>0</c:v>
                </c:pt>
                <c:pt idx="20">
                  <c:v>-3</c:v>
                </c:pt>
                <c:pt idx="21">
                  <c:v>-4.2999999999999972</c:v>
                </c:pt>
                <c:pt idx="22">
                  <c:v>-15.799999999999997</c:v>
                </c:pt>
                <c:pt idx="23">
                  <c:v>-23.699999999999996</c:v>
                </c:pt>
                <c:pt idx="24">
                  <c:v>-27.199999999999996</c:v>
                </c:pt>
                <c:pt idx="25">
                  <c:v>-29.599999999999994</c:v>
                </c:pt>
                <c:pt idx="26">
                  <c:v>-31.399999999999991</c:v>
                </c:pt>
                <c:pt idx="27">
                  <c:v>-32.799999999999997</c:v>
                </c:pt>
                <c:pt idx="28">
                  <c:v>-33.899999999999991</c:v>
                </c:pt>
                <c:pt idx="29">
                  <c:v>-35</c:v>
                </c:pt>
                <c:pt idx="30">
                  <c:v>-35.799999999999997</c:v>
                </c:pt>
                <c:pt idx="31">
                  <c:v>-36.799999999999997</c:v>
                </c:pt>
                <c:pt idx="32">
                  <c:v>-37.299999999999997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D-474D-B4B2-6763C54E7398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</c:dPt>
          <c:xVal>
            <c:numRef>
              <c:f>Preamp_bandwidth!$W$8:$W$9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Preamp_bandwidth!$X$8:$X$9</c:f>
              <c:numCache>
                <c:formatCode>0.00</c:formatCode>
                <c:ptCount val="2"/>
                <c:pt idx="0">
                  <c:v>-3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95-43F7-AD8E-6F43D2A0F273}"/>
            </c:ext>
          </c:extLst>
        </c:ser>
        <c:ser>
          <c:idx val="1"/>
          <c:order val="2"/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3996306555863341"/>
                  <c:y val="0.7755035224949812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F95-43F7-AD8E-6F43D2A0F2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Preamp_bandwidth!$W$25:$W$26</c:f>
              <c:numCache>
                <c:formatCode>0.00</c:formatCode>
                <c:ptCount val="2"/>
                <c:pt idx="0">
                  <c:v>17.260999999999999</c:v>
                </c:pt>
                <c:pt idx="1">
                  <c:v>17.260999999999999</c:v>
                </c:pt>
              </c:numCache>
            </c:numRef>
          </c:xVal>
          <c:yVal>
            <c:numRef>
              <c:f>Preamp_bandwidth!$X$25:$X$26</c:f>
              <c:numCache>
                <c:formatCode>0.00</c:formatCode>
                <c:ptCount val="2"/>
                <c:pt idx="0">
                  <c:v>0</c:v>
                </c:pt>
                <c:pt idx="1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95-43F7-AD8E-6F43D2A0F273}"/>
            </c:ext>
          </c:extLst>
        </c:ser>
        <c:ser>
          <c:idx val="3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</c:dPt>
          <c:dLbls>
            <c:dLbl>
              <c:idx val="0"/>
              <c:layout>
                <c:manualLayout>
                  <c:x val="6.0941828254847646E-2"/>
                  <c:y val="0.7769477924966082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Preamp_bandwidth!$W$29:$W$30</c:f>
              <c:numCache>
                <c:formatCode>0.00</c:formatCode>
                <c:ptCount val="2"/>
                <c:pt idx="0">
                  <c:v>17.466999999999999</c:v>
                </c:pt>
                <c:pt idx="1">
                  <c:v>17.466999999999999</c:v>
                </c:pt>
              </c:numCache>
            </c:numRef>
          </c:xVal>
          <c:yVal>
            <c:numRef>
              <c:f>Preamp_bandwidth!$X$29:$X$30</c:f>
              <c:numCache>
                <c:formatCode>0.00</c:formatCode>
                <c:ptCount val="2"/>
                <c:pt idx="0">
                  <c:v>0</c:v>
                </c:pt>
                <c:pt idx="1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95-43F7-AD8E-6F43D2A0F273}"/>
            </c:ext>
          </c:extLst>
        </c:ser>
        <c:ser>
          <c:idx val="4"/>
          <c:order val="4"/>
          <c:tx>
            <c:strRef>
              <c:f>Preamp_bandwidth!$W$21</c:f>
              <c:strCache>
                <c:ptCount val="1"/>
                <c:pt idx="0">
                  <c:v>17,40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sysDash"/>
                <a:round/>
              </a:ln>
              <a:effectLst/>
            </c:spPr>
          </c:dPt>
          <c:dLbls>
            <c:dLbl>
              <c:idx val="0"/>
              <c:layout>
                <c:manualLayout>
                  <c:x val="-3.139427516158818E-2"/>
                  <c:y val="0.7826397177163636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Preamp_bandwidth!$W$21:$W$22</c:f>
              <c:numCache>
                <c:formatCode>0.00</c:formatCode>
                <c:ptCount val="2"/>
                <c:pt idx="0">
                  <c:v>17.399999999999999</c:v>
                </c:pt>
                <c:pt idx="1">
                  <c:v>17.399999999999999</c:v>
                </c:pt>
              </c:numCache>
            </c:numRef>
          </c:xVal>
          <c:yVal>
            <c:numRef>
              <c:f>Preamp_bandwidth!$X$21:$X$22</c:f>
              <c:numCache>
                <c:formatCode>0.00</c:formatCode>
                <c:ptCount val="2"/>
                <c:pt idx="0">
                  <c:v>0</c:v>
                </c:pt>
                <c:pt idx="1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95-43F7-AD8E-6F43D2A0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valAx>
        <c:axId val="1388246895"/>
        <c:scaling>
          <c:logBase val="10"/>
          <c:orientation val="minMax"/>
          <c:max val="5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frequency [kHz] </a:t>
                </a:r>
              </a:p>
            </c:rich>
          </c:tx>
          <c:layout>
            <c:manualLayout>
              <c:xMode val="edge"/>
              <c:yMode val="edge"/>
              <c:x val="0.63141565060600113"/>
              <c:y val="0.93029296383924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415"/>
        <c:crosses val="autoZero"/>
        <c:crossBetween val="midCat"/>
      </c:valAx>
      <c:valAx>
        <c:axId val="1388246415"/>
        <c:scaling>
          <c:orientation val="minMax"/>
          <c:min val="-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Signal Output</a:t>
                </a:r>
                <a:r>
                  <a:rPr lang="pl-PL" baseline="0"/>
                  <a:t> Level [dB 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895"/>
        <c:crossesAt val="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8</xdr:row>
      <xdr:rowOff>0</xdr:rowOff>
    </xdr:from>
    <xdr:to>
      <xdr:col>36</xdr:col>
      <xdr:colOff>171450</xdr:colOff>
      <xdr:row>35</xdr:row>
      <xdr:rowOff>80962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EF1996-116A-49D2-B734-EA5B6A234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600075</xdr:colOff>
      <xdr:row>17</xdr:row>
      <xdr:rowOff>123825</xdr:rowOff>
    </xdr:from>
    <xdr:ext cx="1922962" cy="436786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537AC917-BEF5-DCFB-86E8-BBEEF3DBA737}"/>
            </a:ext>
          </a:extLst>
        </xdr:cNvPr>
        <xdr:cNvSpPr txBox="1"/>
      </xdr:nvSpPr>
      <xdr:spPr>
        <a:xfrm>
          <a:off x="18145125" y="3362325"/>
          <a:ext cx="19229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/>
            <a:t>Bandwidth = fmax - fmin = </a:t>
          </a:r>
          <a:br>
            <a:rPr lang="pl-PL" sz="1100"/>
          </a:br>
          <a:r>
            <a:rPr lang="pl-PL" sz="1100"/>
            <a:t>17.47kHz</a:t>
          </a:r>
          <a:r>
            <a:rPr lang="pl-PL" sz="1100" baseline="0"/>
            <a:t> - 17.26kHz = 210kHz </a:t>
          </a:r>
          <a:endParaRPr lang="pl-PL" sz="1100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8416-7DB1-4FA4-BC75-17F12518C0CD}">
  <dimension ref="B3:I15"/>
  <sheetViews>
    <sheetView workbookViewId="0">
      <selection activeCell="N15" sqref="N15"/>
    </sheetView>
  </sheetViews>
  <sheetFormatPr defaultRowHeight="15" x14ac:dyDescent="0.25"/>
  <cols>
    <col min="12" max="12" width="12" bestFit="1" customWidth="1"/>
  </cols>
  <sheetData>
    <row r="3" spans="2:9" x14ac:dyDescent="0.25">
      <c r="I3" s="2"/>
    </row>
    <row r="4" spans="2:9" x14ac:dyDescent="0.25">
      <c r="I4" s="2"/>
    </row>
    <row r="6" spans="2:9" x14ac:dyDescent="0.25">
      <c r="B6" s="2"/>
      <c r="C6" s="2"/>
      <c r="D6" s="2" t="s">
        <v>24</v>
      </c>
      <c r="E6" s="2"/>
    </row>
    <row r="7" spans="2:9" x14ac:dyDescent="0.25">
      <c r="B7" s="2"/>
      <c r="C7" s="2"/>
      <c r="D7" s="9" t="s">
        <v>20</v>
      </c>
      <c r="E7" s="9">
        <v>8.1999999999999993</v>
      </c>
      <c r="F7" s="9" t="s">
        <v>1</v>
      </c>
    </row>
    <row r="8" spans="2:9" x14ac:dyDescent="0.25">
      <c r="B8" s="2"/>
      <c r="C8" s="2"/>
      <c r="D8" s="9" t="s">
        <v>21</v>
      </c>
      <c r="E8" s="9">
        <v>0</v>
      </c>
      <c r="F8" s="9" t="s">
        <v>1</v>
      </c>
      <c r="H8" t="s">
        <v>25</v>
      </c>
    </row>
    <row r="9" spans="2:9" x14ac:dyDescent="0.25">
      <c r="B9" s="2"/>
      <c r="C9" s="2"/>
      <c r="D9" s="9" t="s">
        <v>22</v>
      </c>
      <c r="E9" s="9">
        <v>10.35</v>
      </c>
      <c r="F9" s="9" t="s">
        <v>0</v>
      </c>
    </row>
    <row r="10" spans="2:9" x14ac:dyDescent="0.25">
      <c r="B10" s="2"/>
      <c r="C10" s="2"/>
    </row>
    <row r="11" spans="2:9" x14ac:dyDescent="0.25">
      <c r="B11" s="2"/>
      <c r="C11" s="2"/>
      <c r="D11" s="8" t="s">
        <v>2</v>
      </c>
      <c r="E11" s="10">
        <f>1/(2*PI()*SQRT(E9*10^-3*(E7+E8)*10^-9))</f>
        <v>17275.993443474956</v>
      </c>
      <c r="F11" s="8" t="s">
        <v>23</v>
      </c>
    </row>
    <row r="12" spans="2:9" x14ac:dyDescent="0.25">
      <c r="B12" s="2"/>
      <c r="C12" s="2"/>
    </row>
    <row r="15" spans="2:9" x14ac:dyDescent="0.25">
      <c r="I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B08E-F7FE-4A30-9997-7931476CFA36}">
  <dimension ref="B2:Y46"/>
  <sheetViews>
    <sheetView tabSelected="1" topLeftCell="O3" workbookViewId="0">
      <selection activeCell="AM1" sqref="AM1"/>
    </sheetView>
  </sheetViews>
  <sheetFormatPr defaultRowHeight="15" x14ac:dyDescent="0.25"/>
  <cols>
    <col min="4" max="4" width="10.85546875" customWidth="1"/>
    <col min="18" max="18" width="9.140625" style="15"/>
    <col min="19" max="19" width="10.85546875" customWidth="1"/>
    <col min="20" max="20" width="23" customWidth="1"/>
    <col min="21" max="21" width="13.28515625" customWidth="1"/>
    <col min="22" max="22" width="13.140625" customWidth="1"/>
  </cols>
  <sheetData>
    <row r="2" spans="2:24" x14ac:dyDescent="0.25">
      <c r="B2" s="4" t="s">
        <v>3</v>
      </c>
    </row>
    <row r="5" spans="2:24" x14ac:dyDescent="0.25">
      <c r="B5" t="s">
        <v>4</v>
      </c>
    </row>
    <row r="6" spans="2:24" x14ac:dyDescent="0.25">
      <c r="W6" t="s">
        <v>16</v>
      </c>
    </row>
    <row r="7" spans="2:24" x14ac:dyDescent="0.25">
      <c r="B7" t="s">
        <v>6</v>
      </c>
      <c r="W7" t="s">
        <v>12</v>
      </c>
      <c r="X7" s="7" t="s">
        <v>19</v>
      </c>
    </row>
    <row r="8" spans="2:24" x14ac:dyDescent="0.25">
      <c r="B8" t="s">
        <v>5</v>
      </c>
      <c r="R8" s="15" t="s">
        <v>12</v>
      </c>
      <c r="S8" t="s">
        <v>26</v>
      </c>
      <c r="T8" t="s">
        <v>27</v>
      </c>
      <c r="W8" s="2">
        <v>1</v>
      </c>
      <c r="X8" s="2">
        <f>T28-3</f>
        <v>-3</v>
      </c>
    </row>
    <row r="9" spans="2:24" x14ac:dyDescent="0.25">
      <c r="R9" s="15">
        <v>5</v>
      </c>
      <c r="S9" s="2">
        <v>-101.2</v>
      </c>
      <c r="T9" s="13">
        <f>S9-$S$28</f>
        <v>-68.5</v>
      </c>
      <c r="U9" s="2"/>
      <c r="W9" s="2">
        <v>100</v>
      </c>
      <c r="X9" s="2">
        <f>T28-3</f>
        <v>-3</v>
      </c>
    </row>
    <row r="10" spans="2:24" x14ac:dyDescent="0.25">
      <c r="R10" s="15">
        <v>6</v>
      </c>
      <c r="S10" s="2">
        <v>-95</v>
      </c>
      <c r="T10" s="13">
        <f>S10-$S$28</f>
        <v>-62.3</v>
      </c>
      <c r="U10" s="2"/>
    </row>
    <row r="11" spans="2:24" x14ac:dyDescent="0.25">
      <c r="B11" t="s">
        <v>13</v>
      </c>
      <c r="R11" s="15">
        <v>7</v>
      </c>
      <c r="S11" s="2">
        <v>-90</v>
      </c>
      <c r="T11" s="13">
        <f>S11-$S$28</f>
        <v>-57.3</v>
      </c>
      <c r="U11" s="2"/>
    </row>
    <row r="12" spans="2:24" x14ac:dyDescent="0.25">
      <c r="R12" s="15">
        <v>8</v>
      </c>
      <c r="S12" s="2">
        <v>-85.9</v>
      </c>
      <c r="T12" s="13">
        <f>S12-$S$28</f>
        <v>-53.2</v>
      </c>
      <c r="U12" s="2"/>
      <c r="W12" s="2"/>
      <c r="X12" s="2"/>
    </row>
    <row r="13" spans="2:24" x14ac:dyDescent="0.25">
      <c r="B13" t="s">
        <v>7</v>
      </c>
      <c r="R13" s="16">
        <v>9</v>
      </c>
      <c r="S13" s="13">
        <v>-82.1</v>
      </c>
      <c r="T13" s="13">
        <f>S13-$S$28</f>
        <v>-49.399999999999991</v>
      </c>
      <c r="U13" s="13"/>
      <c r="W13" s="2"/>
      <c r="X13" s="2"/>
    </row>
    <row r="14" spans="2:24" x14ac:dyDescent="0.25">
      <c r="R14" s="16">
        <v>10</v>
      </c>
      <c r="S14" s="13">
        <v>-78.8</v>
      </c>
      <c r="T14" s="13">
        <f>S14-$S$28</f>
        <v>-46.099999999999994</v>
      </c>
      <c r="U14" s="13"/>
    </row>
    <row r="15" spans="2:24" x14ac:dyDescent="0.25">
      <c r="B15" t="s">
        <v>28</v>
      </c>
      <c r="R15" s="16">
        <v>11</v>
      </c>
      <c r="S15" s="13">
        <v>-75.7</v>
      </c>
      <c r="T15" s="13">
        <f>S15-$S$28</f>
        <v>-43</v>
      </c>
      <c r="U15" s="13"/>
    </row>
    <row r="16" spans="2:24" x14ac:dyDescent="0.25">
      <c r="B16" t="s">
        <v>30</v>
      </c>
      <c r="R16" s="16">
        <v>12</v>
      </c>
      <c r="S16" s="13">
        <v>-72.7</v>
      </c>
      <c r="T16" s="13">
        <f>S16-$S$28</f>
        <v>-40</v>
      </c>
      <c r="U16" s="13"/>
    </row>
    <row r="17" spans="2:24" x14ac:dyDescent="0.25">
      <c r="B17" t="s">
        <v>31</v>
      </c>
      <c r="R17" s="16">
        <v>13</v>
      </c>
      <c r="S17" s="13">
        <v>-69.5</v>
      </c>
      <c r="T17" s="13">
        <f>S17-$S$28</f>
        <v>-36.799999999999997</v>
      </c>
      <c r="U17" s="13"/>
    </row>
    <row r="18" spans="2:24" x14ac:dyDescent="0.25">
      <c r="R18" s="16">
        <v>14</v>
      </c>
      <c r="S18" s="13">
        <v>-66.2</v>
      </c>
      <c r="T18" s="13">
        <f>S18-$S$28</f>
        <v>-33.5</v>
      </c>
      <c r="U18" s="13"/>
    </row>
    <row r="19" spans="2:24" x14ac:dyDescent="0.25">
      <c r="B19" t="s">
        <v>29</v>
      </c>
      <c r="R19" s="16">
        <v>15</v>
      </c>
      <c r="S19" s="13">
        <v>-62.1</v>
      </c>
      <c r="T19" s="13">
        <f>S19-$S$28</f>
        <v>-29.4</v>
      </c>
      <c r="U19" s="13"/>
    </row>
    <row r="20" spans="2:24" x14ac:dyDescent="0.25">
      <c r="B20" s="5" t="s">
        <v>32</v>
      </c>
      <c r="R20" s="16">
        <v>16</v>
      </c>
      <c r="S20" s="13">
        <v>-56.5</v>
      </c>
      <c r="T20" s="13">
        <f>S20-$S$28</f>
        <v>-23.799999999999997</v>
      </c>
      <c r="U20" s="13"/>
      <c r="W20" t="s">
        <v>2</v>
      </c>
    </row>
    <row r="21" spans="2:24" x14ac:dyDescent="0.25">
      <c r="B21" s="5" t="s">
        <v>8</v>
      </c>
      <c r="R21" s="16">
        <v>16.8</v>
      </c>
      <c r="S21" s="13">
        <v>-48.4</v>
      </c>
      <c r="T21" s="13">
        <f>S21-$S$28</f>
        <v>-15.699999999999996</v>
      </c>
      <c r="U21" s="13"/>
      <c r="W21" s="2">
        <v>17.399999999999999</v>
      </c>
      <c r="X21" s="2">
        <v>0</v>
      </c>
    </row>
    <row r="22" spans="2:24" x14ac:dyDescent="0.25">
      <c r="B22" s="5" t="s">
        <v>33</v>
      </c>
      <c r="R22" s="16">
        <v>16.899999999999999</v>
      </c>
      <c r="S22" s="13">
        <v>-46.5</v>
      </c>
      <c r="T22" s="13">
        <f>S22-$S$28</f>
        <v>-13.799999999999997</v>
      </c>
      <c r="U22" s="13"/>
      <c r="W22" s="2">
        <v>17.399999999999999</v>
      </c>
      <c r="X22" s="2">
        <v>-70</v>
      </c>
    </row>
    <row r="23" spans="2:24" x14ac:dyDescent="0.25">
      <c r="R23" s="16">
        <v>17</v>
      </c>
      <c r="S23" s="13">
        <v>-44.6</v>
      </c>
      <c r="T23" s="13">
        <f>S23-$S$28</f>
        <v>-11.899999999999999</v>
      </c>
      <c r="U23" s="13"/>
    </row>
    <row r="24" spans="2:24" x14ac:dyDescent="0.25">
      <c r="B24" s="6" t="s">
        <v>9</v>
      </c>
      <c r="R24" s="16">
        <v>17.100000000000001</v>
      </c>
      <c r="S24" s="13">
        <v>-42</v>
      </c>
      <c r="T24" s="13">
        <f>S24-$S$28</f>
        <v>-9.2999999999999972</v>
      </c>
      <c r="U24" s="13"/>
      <c r="W24" t="s">
        <v>17</v>
      </c>
    </row>
    <row r="25" spans="2:24" x14ac:dyDescent="0.25">
      <c r="R25" s="16">
        <v>17.2</v>
      </c>
      <c r="S25" s="13">
        <v>-38.5</v>
      </c>
      <c r="T25" s="13">
        <f>S25-$S$28</f>
        <v>-5.7999999999999972</v>
      </c>
      <c r="U25" s="13"/>
      <c r="W25" s="2">
        <v>17.260999999999999</v>
      </c>
      <c r="X25" s="2">
        <v>0</v>
      </c>
    </row>
    <row r="26" spans="2:24" x14ac:dyDescent="0.25">
      <c r="B26" t="s">
        <v>10</v>
      </c>
      <c r="R26" s="18">
        <v>17.260999999999999</v>
      </c>
      <c r="S26" s="19">
        <f>S28-3</f>
        <v>-35.700000000000003</v>
      </c>
      <c r="T26" s="19">
        <f>S26-$S$28</f>
        <v>-3</v>
      </c>
      <c r="U26" s="20">
        <f>R29-R26</f>
        <v>0.20599999999999952</v>
      </c>
      <c r="W26" s="2">
        <v>17.260999999999999</v>
      </c>
      <c r="X26" s="2">
        <v>-70</v>
      </c>
    </row>
    <row r="27" spans="2:24" x14ac:dyDescent="0.25">
      <c r="R27" s="16">
        <v>17.3</v>
      </c>
      <c r="S27" s="13">
        <v>-34</v>
      </c>
      <c r="T27" s="13">
        <f>S27-$S$28</f>
        <v>-1.2999999999999972</v>
      </c>
      <c r="U27" s="20"/>
    </row>
    <row r="28" spans="2:24" x14ac:dyDescent="0.25">
      <c r="B28" t="s">
        <v>14</v>
      </c>
      <c r="R28" s="17">
        <v>17.399999999999999</v>
      </c>
      <c r="S28" s="14">
        <v>-32.700000000000003</v>
      </c>
      <c r="T28" s="14">
        <f>S28-$S$28</f>
        <v>0</v>
      </c>
      <c r="U28" s="20"/>
      <c r="W28" t="s">
        <v>18</v>
      </c>
    </row>
    <row r="29" spans="2:24" x14ac:dyDescent="0.25">
      <c r="R29" s="18">
        <v>17.466999999999999</v>
      </c>
      <c r="S29" s="19">
        <f>S28-3</f>
        <v>-35.700000000000003</v>
      </c>
      <c r="T29" s="19">
        <f>S29-$S$28</f>
        <v>-3</v>
      </c>
      <c r="U29" s="20"/>
      <c r="W29" s="2">
        <v>17.466999999999999</v>
      </c>
      <c r="X29" s="2">
        <v>0</v>
      </c>
    </row>
    <row r="30" spans="2:24" x14ac:dyDescent="0.25">
      <c r="B30" t="s">
        <v>15</v>
      </c>
      <c r="R30" s="16">
        <v>17.5</v>
      </c>
      <c r="S30" s="13">
        <v>-37</v>
      </c>
      <c r="T30" s="13">
        <f>S30-$S$28</f>
        <v>-4.2999999999999972</v>
      </c>
      <c r="U30" s="13"/>
      <c r="W30" s="2">
        <v>17.466999999999999</v>
      </c>
      <c r="X30" s="2">
        <v>-70</v>
      </c>
    </row>
    <row r="31" spans="2:24" x14ac:dyDescent="0.25">
      <c r="R31" s="16">
        <v>18</v>
      </c>
      <c r="S31" s="13">
        <v>-48.5</v>
      </c>
      <c r="T31" s="13">
        <f>S31-$S$28</f>
        <v>-15.799999999999997</v>
      </c>
      <c r="U31" s="13"/>
      <c r="W31" s="2"/>
      <c r="X31" s="2"/>
    </row>
    <row r="32" spans="2:24" x14ac:dyDescent="0.25">
      <c r="B32" t="s">
        <v>36</v>
      </c>
      <c r="R32" s="16">
        <v>19</v>
      </c>
      <c r="S32" s="13">
        <v>-56.4</v>
      </c>
      <c r="T32" s="13">
        <f>S32-$S$28</f>
        <v>-23.699999999999996</v>
      </c>
      <c r="U32" s="13"/>
    </row>
    <row r="33" spans="2:25" x14ac:dyDescent="0.25">
      <c r="R33" s="16">
        <v>20</v>
      </c>
      <c r="S33" s="13">
        <v>-59.9</v>
      </c>
      <c r="T33" s="13">
        <f>S33-$S$28</f>
        <v>-27.199999999999996</v>
      </c>
      <c r="U33" s="13"/>
      <c r="V33" s="15"/>
    </row>
    <row r="34" spans="2:25" x14ac:dyDescent="0.25">
      <c r="B34" t="s">
        <v>11</v>
      </c>
      <c r="R34" s="16">
        <v>21</v>
      </c>
      <c r="S34" s="13">
        <v>-62.3</v>
      </c>
      <c r="T34" s="13">
        <f>S34-$S$28</f>
        <v>-29.599999999999994</v>
      </c>
      <c r="U34" s="13"/>
    </row>
    <row r="35" spans="2:25" x14ac:dyDescent="0.25">
      <c r="R35" s="16">
        <v>22</v>
      </c>
      <c r="S35" s="13">
        <v>-64.099999999999994</v>
      </c>
      <c r="T35" s="13">
        <f>S35-$S$28</f>
        <v>-31.399999999999991</v>
      </c>
      <c r="U35" s="13"/>
    </row>
    <row r="36" spans="2:25" x14ac:dyDescent="0.25">
      <c r="B36" t="s">
        <v>34</v>
      </c>
      <c r="R36" s="16">
        <v>23</v>
      </c>
      <c r="S36" s="13">
        <v>-65.5</v>
      </c>
      <c r="T36" s="13">
        <f>S36-$S$28</f>
        <v>-32.799999999999997</v>
      </c>
      <c r="U36" s="13"/>
      <c r="X36" s="11"/>
      <c r="Y36" s="12"/>
    </row>
    <row r="37" spans="2:25" x14ac:dyDescent="0.25">
      <c r="B37" t="s">
        <v>35</v>
      </c>
      <c r="R37" s="15">
        <v>24</v>
      </c>
      <c r="S37" s="2">
        <v>-66.599999999999994</v>
      </c>
      <c r="T37" s="13">
        <f>S37-$S$28</f>
        <v>-33.899999999999991</v>
      </c>
      <c r="U37" s="13"/>
      <c r="X37" s="3"/>
      <c r="Y37" s="3"/>
    </row>
    <row r="38" spans="2:25" x14ac:dyDescent="0.25">
      <c r="F38" s="2"/>
      <c r="R38" s="15">
        <v>25</v>
      </c>
      <c r="S38" s="2">
        <v>-67.7</v>
      </c>
      <c r="T38" s="13">
        <f>S38-$S$28</f>
        <v>-35</v>
      </c>
      <c r="U38" s="13"/>
    </row>
    <row r="39" spans="2:25" x14ac:dyDescent="0.25">
      <c r="R39" s="15">
        <v>26</v>
      </c>
      <c r="S39" s="2">
        <v>-68.5</v>
      </c>
      <c r="T39" s="13">
        <f>S39-$S$28</f>
        <v>-35.799999999999997</v>
      </c>
      <c r="U39" s="2"/>
    </row>
    <row r="40" spans="2:25" x14ac:dyDescent="0.25">
      <c r="R40" s="15">
        <v>27</v>
      </c>
      <c r="S40" s="2">
        <v>-69.5</v>
      </c>
      <c r="T40" s="13">
        <f>S40-$S$28</f>
        <v>-36.799999999999997</v>
      </c>
      <c r="U40" s="2"/>
    </row>
    <row r="41" spans="2:25" x14ac:dyDescent="0.25">
      <c r="R41" s="15">
        <v>28</v>
      </c>
      <c r="S41" s="2">
        <v>-70</v>
      </c>
      <c r="T41" s="13">
        <f>S41-$S$28</f>
        <v>-37.299999999999997</v>
      </c>
      <c r="U41" s="2"/>
    </row>
    <row r="42" spans="2:25" x14ac:dyDescent="0.25">
      <c r="B42" s="9" t="s">
        <v>20</v>
      </c>
      <c r="C42" s="9">
        <v>8.1999999999999993</v>
      </c>
      <c r="D42" s="9" t="s">
        <v>1</v>
      </c>
      <c r="U42" s="2"/>
    </row>
    <row r="43" spans="2:25" x14ac:dyDescent="0.25">
      <c r="B43" s="9" t="s">
        <v>21</v>
      </c>
      <c r="C43" s="9">
        <v>22</v>
      </c>
      <c r="D43" s="9" t="s">
        <v>1</v>
      </c>
      <c r="U43" s="2"/>
    </row>
    <row r="44" spans="2:25" x14ac:dyDescent="0.25">
      <c r="B44" s="9" t="s">
        <v>22</v>
      </c>
      <c r="C44" s="9">
        <v>10.35</v>
      </c>
      <c r="D44" s="9" t="s">
        <v>0</v>
      </c>
      <c r="U44" s="2"/>
    </row>
    <row r="46" spans="2:25" x14ac:dyDescent="0.25">
      <c r="B46" s="8" t="s">
        <v>2</v>
      </c>
      <c r="C46" s="10">
        <f>1/(2*PI()*SQRT(C44*10^-3*(C42+C43)*10^-9))</f>
        <v>9002.1549766688659</v>
      </c>
      <c r="D46" s="8" t="s">
        <v>23</v>
      </c>
    </row>
  </sheetData>
  <mergeCells count="2">
    <mergeCell ref="X36:Y36"/>
    <mergeCell ref="U26:U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Resonance_frequency</vt:lpstr>
      <vt:lpstr>Preamp_bandwidth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Mazur</dc:creator>
  <cp:lastModifiedBy>Andrzej Mazur</cp:lastModifiedBy>
  <dcterms:created xsi:type="dcterms:W3CDTF">2025-10-18T10:55:23Z</dcterms:created>
  <dcterms:modified xsi:type="dcterms:W3CDTF">2025-12-28T10:30:28Z</dcterms:modified>
</cp:coreProperties>
</file>
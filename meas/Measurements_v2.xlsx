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RF_VLF_SAQ_Reception\meas\"/>
    </mc:Choice>
  </mc:AlternateContent>
  <xr:revisionPtr revIDLastSave="0" documentId="13_ncr:1_{2F2663F3-1EBB-4772-B0BC-756A4F2097F2}" xr6:coauthVersionLast="47" xr6:coauthVersionMax="47" xr10:uidLastSave="{00000000-0000-0000-0000-000000000000}"/>
  <bookViews>
    <workbookView xWindow="-120" yWindow="-120" windowWidth="29040" windowHeight="15720" activeTab="1" xr2:uid="{CB450F67-C83A-4305-ACBC-60FD295E7ED8}"/>
  </bookViews>
  <sheets>
    <sheet name="Resonance Calculation" sheetId="1" r:id="rId1"/>
    <sheet name="Preamp_bandwidt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Q6" i="2" s="1"/>
  <c r="Z39" i="2"/>
  <c r="C42" i="2"/>
  <c r="AA33" i="2"/>
  <c r="Z33" i="2"/>
  <c r="Z14" i="2"/>
  <c r="Z13" i="2"/>
  <c r="Z10" i="2"/>
  <c r="L25" i="1"/>
  <c r="J25" i="1"/>
  <c r="K22" i="1"/>
  <c r="I20" i="1"/>
  <c r="J18" i="1"/>
  <c r="L12" i="1"/>
  <c r="L11" i="1"/>
  <c r="L9" i="1"/>
  <c r="L10" i="1"/>
  <c r="D9" i="1"/>
  <c r="E9" i="1" s="1"/>
  <c r="D8" i="1"/>
  <c r="E8" i="1" s="1"/>
  <c r="D10" i="1"/>
  <c r="E10" i="1" s="1"/>
  <c r="D7" i="1"/>
  <c r="E7" i="1"/>
  <c r="D6" i="1"/>
  <c r="E6" i="1" s="1"/>
  <c r="Z32" i="2" l="1"/>
  <c r="Z40" i="2"/>
  <c r="Z43" i="2"/>
  <c r="Z44" i="2"/>
</calcChain>
</file>

<file path=xl/sharedStrings.xml><?xml version="1.0" encoding="utf-8"?>
<sst xmlns="http://schemas.openxmlformats.org/spreadsheetml/2006/main" count="53" uniqueCount="42">
  <si>
    <t>in</t>
  </si>
  <si>
    <t>out</t>
  </si>
  <si>
    <t>uf</t>
  </si>
  <si>
    <t>ud</t>
  </si>
  <si>
    <t>mH</t>
  </si>
  <si>
    <t>nF</t>
  </si>
  <si>
    <t>f0</t>
  </si>
  <si>
    <t>C[nF]</t>
  </si>
  <si>
    <t>f0[kHz]</t>
  </si>
  <si>
    <t>L[mH]</t>
  </si>
  <si>
    <t>with no cap…</t>
  </si>
  <si>
    <t>3dB Bandwidth Measurement for SAQ pre-amp</t>
  </si>
  <si>
    <t>Setup</t>
  </si>
  <si>
    <t>Oscilloscope connected to preamp output - it measures preamp output voltage accross 1k load resistor, which is part of the curcuit</t>
  </si>
  <si>
    <t>Arbitrary waveform generator (AWG) connected directly to primary winding instead of antenna.</t>
  </si>
  <si>
    <t>It is assumed that preamps input LC tank is already tuned to 17.2kHz, i.e. circuits max. observed output voltage is seen at around this frequency</t>
  </si>
  <si>
    <t xml:space="preserve">1. Set  AWG according to below settings </t>
  </si>
  <si>
    <t>center frequency: 17.2kHz</t>
  </si>
  <si>
    <t>2. Take a output voltage reading at center frequency</t>
  </si>
  <si>
    <t>3. Calculate coresponding -3dB voltage level</t>
  </si>
  <si>
    <t>6. Calculate bandwidth of preamp as BW = fmax - fmin [kHkz]</t>
  </si>
  <si>
    <t>f [kHz]</t>
  </si>
  <si>
    <t>During measurements make sure that AWGoutput voltage stays constants for all measurements</t>
  </si>
  <si>
    <t>Measurement Procedure</t>
  </si>
  <si>
    <t>Uppout[V]</t>
  </si>
  <si>
    <t>4. Shift frequency to the left until output voltage drops by 0.708 of its maximum value (-3dB) and take a reading U1out(-3dB)[V] and fmin [kHz]</t>
  </si>
  <si>
    <t>5. Shift frequency to the right until output voltage drops by 0.708 of its maximum value (-3dB) and take a reading of U2out(-3dB)[V] and fmax [kHz]</t>
  </si>
  <si>
    <t>3dB line</t>
  </si>
  <si>
    <t>max line</t>
  </si>
  <si>
    <t>fmin</t>
  </si>
  <si>
    <t>fmax</t>
  </si>
  <si>
    <t>A[dB]</t>
  </si>
  <si>
    <t>C1</t>
  </si>
  <si>
    <t>C2</t>
  </si>
  <si>
    <t>L</t>
  </si>
  <si>
    <t>kHz</t>
  </si>
  <si>
    <t>Uppin[mV]</t>
  </si>
  <si>
    <t>Uppin[dBm]</t>
  </si>
  <si>
    <t>output impedance:50ohm</t>
  </si>
  <si>
    <t>to avoid impacting resonance frequency by waveform generator, it must be connected via 100k resistor</t>
  </si>
  <si>
    <t>output amplitude: (-42dBm/4mVpp)</t>
  </si>
  <si>
    <t>measured at the generator output with the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</si>
</sst>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7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left" indent="3"/>
    </xf>
    <xf numFmtId="0" fontId="0" fillId="0" borderId="0" xfId="0" applyAlignment="1">
      <alignment horizontal="left"/>
    </xf>
    <xf numFmtId="164" fontId="0" fillId="2" borderId="0" xfId="0" applyNumberFormat="1" applyFill="1"/>
    <xf numFmtId="2" fontId="0" fillId="2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/>
    <xf numFmtId="0" fontId="0" fillId="5" borderId="0" xfId="0" applyFill="1"/>
    <xf numFmtId="2" fontId="2" fillId="4" borderId="0" xfId="0" applyNumberFormat="1" applyFont="1" applyFill="1"/>
    <xf numFmtId="165" fontId="0" fillId="0" borderId="0" xfId="0" applyNumberFormat="1"/>
    <xf numFmtId="165" fontId="0" fillId="3" borderId="0" xfId="0" applyNumberFormat="1" applyFill="1"/>
    <xf numFmtId="165" fontId="0" fillId="2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Pre-amp bandwidth</a:t>
            </a:r>
          </a:p>
        </c:rich>
      </c:tx>
      <c:layout>
        <c:manualLayout>
          <c:xMode val="edge"/>
          <c:yMode val="edge"/>
          <c:x val="0.47671734246515579"/>
          <c:y val="2.56136634888991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025852259797005"/>
          <c:y val="0.11100637297517289"/>
          <c:w val="0.85188020572572942"/>
          <c:h val="0.7563387454408471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Preamp_bandwidth!$R$9:$R$27</c:f>
              <c:numCache>
                <c:formatCode>0.0</c:formatCode>
                <c:ptCount val="19"/>
                <c:pt idx="0">
                  <c:v>16</c:v>
                </c:pt>
                <c:pt idx="1">
                  <c:v>17</c:v>
                </c:pt>
                <c:pt idx="2" formatCode="General">
                  <c:v>17.100000000000001</c:v>
                </c:pt>
                <c:pt idx="3">
                  <c:v>17.2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</c:numCache>
            </c:numRef>
          </c:xVal>
          <c:yVal>
            <c:numRef>
              <c:f>Preamp_bandwidth!$S$9:$S$27</c:f>
              <c:numCache>
                <c:formatCode>0.000</c:formatCode>
                <c:ptCount val="1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FA-442A-9610-846A0C980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246895"/>
        <c:axId val="1388246415"/>
      </c:scatterChart>
      <c:scatterChart>
        <c:scatterStyle val="lineMarker"/>
        <c:varyColors val="0"/>
        <c:ser>
          <c:idx val="1"/>
          <c:order val="1"/>
          <c:tx>
            <c:v>-3dB+Preamp_bandwidth!$W$9:$W$10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84579870729455209"/>
                  <c:y val="-5.217537844666680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FA-442A-9610-846A0C980554}"/>
                </c:ext>
              </c:extLst>
            </c:dLbl>
            <c:dLbl>
              <c:idx val="1"/>
              <c:layout>
                <c:manualLayout>
                  <c:x val="-0.71652816251154205"/>
                  <c:y val="-1.992173826914385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-3dB (BW = 22,6kHz)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0FA-442A-9610-846A0C9805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Preamp_bandwidth!$Y$9:$Y$10</c:f>
              <c:numCache>
                <c:formatCode>0.00</c:formatCode>
                <c:ptCount val="2"/>
                <c:pt idx="0">
                  <c:v>1</c:v>
                </c:pt>
                <c:pt idx="1">
                  <c:v>100</c:v>
                </c:pt>
              </c:numCache>
            </c:numRef>
          </c:xVal>
          <c:yVal>
            <c:numRef>
              <c:f>Preamp_bandwidth!$Z$9:$Z$10</c:f>
              <c:numCache>
                <c:formatCode>0.00</c:formatCode>
                <c:ptCount val="2"/>
                <c:pt idx="0">
                  <c:v>1.7416799999999999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FA-442A-9610-846A0C980554}"/>
            </c:ext>
          </c:extLst>
        </c:ser>
        <c:ser>
          <c:idx val="2"/>
          <c:order val="2"/>
          <c:tx>
            <c:v>Max Output</c:v>
          </c:tx>
          <c:spPr>
            <a:ln w="1905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FA-442A-9610-846A0C9805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Preamp_bandwidth!$Y$13:$Y$14</c:f>
              <c:numCache>
                <c:formatCode>0.00</c:formatCode>
                <c:ptCount val="2"/>
                <c:pt idx="0">
                  <c:v>1</c:v>
                </c:pt>
                <c:pt idx="1">
                  <c:v>100</c:v>
                </c:pt>
              </c:numCache>
            </c:numRef>
          </c:xVal>
          <c:yVal>
            <c:numRef>
              <c:f>Preamp_bandwidth!$Z$13:$Z$14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FA-442A-9610-846A0C980554}"/>
            </c:ext>
          </c:extLst>
        </c:ser>
        <c:ser>
          <c:idx val="3"/>
          <c:order val="3"/>
          <c:tx>
            <c:v>Center Frequecy</c:v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3332751688587403E-2"/>
                  <c:y val="-8.660869269026838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FA-442A-9610-846A0C9805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FA-442A-9610-846A0C98055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Preamp_bandwidth!$Y$18:$Y$19</c:f>
              <c:numCache>
                <c:formatCode>0.00</c:formatCode>
                <c:ptCount val="2"/>
                <c:pt idx="0">
                  <c:v>17.2</c:v>
                </c:pt>
                <c:pt idx="1">
                  <c:v>17.2</c:v>
                </c:pt>
              </c:numCache>
            </c:numRef>
          </c:xVal>
          <c:yVal>
            <c:numRef>
              <c:f>Preamp_bandwidth!$Z$18:$Z$19</c:f>
              <c:numCache>
                <c:formatCode>0.00</c:formatCode>
                <c:ptCount val="2"/>
                <c:pt idx="0">
                  <c:v>0</c:v>
                </c:pt>
                <c:pt idx="1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FA-442A-9610-846A0C980554}"/>
            </c:ext>
          </c:extLst>
        </c:ser>
        <c:ser>
          <c:idx val="4"/>
          <c:order val="4"/>
          <c:tx>
            <c:v>fmin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0684741277146518E-2"/>
                  <c:y val="-8.660869269026838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FA-442A-9610-846A0C9805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FA-442A-9610-846A0C98055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Preamp_bandwidth!$Y$22:$Y$23</c:f>
              <c:numCache>
                <c:formatCode>0.00</c:formatCode>
                <c:ptCount val="2"/>
                <c:pt idx="0">
                  <c:v>9.4</c:v>
                </c:pt>
                <c:pt idx="1">
                  <c:v>9.4</c:v>
                </c:pt>
              </c:numCache>
            </c:numRef>
          </c:xVal>
          <c:yVal>
            <c:numRef>
              <c:f>Preamp_bandwidth!$Z$22:$Z$23</c:f>
              <c:numCache>
                <c:formatCode>0.00</c:formatCode>
                <c:ptCount val="2"/>
                <c:pt idx="0">
                  <c:v>0</c:v>
                </c:pt>
                <c:pt idx="1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FA-442A-9610-846A0C980554}"/>
            </c:ext>
          </c:extLst>
        </c:ser>
        <c:ser>
          <c:idx val="5"/>
          <c:order val="5"/>
          <c:tx>
            <c:v>fmax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5093971979264365E-2"/>
                  <c:y val="-8.64616886373486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FA-442A-9610-846A0C9805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0FA-442A-9610-846A0C98055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Preamp_bandwidth!$Y$26:$Y$27</c:f>
              <c:numCache>
                <c:formatCode>0.00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xVal>
          <c:yVal>
            <c:numRef>
              <c:f>Preamp_bandwidth!$Z$26:$Z$27</c:f>
              <c:numCache>
                <c:formatCode>0.00</c:formatCode>
                <c:ptCount val="2"/>
                <c:pt idx="0">
                  <c:v>0</c:v>
                </c:pt>
                <c:pt idx="1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FA-442A-9610-846A0C980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246895"/>
        <c:axId val="1388246415"/>
      </c:scatterChart>
      <c:valAx>
        <c:axId val="13882468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frequency [kHz] </a:t>
                </a:r>
              </a:p>
            </c:rich>
          </c:tx>
          <c:layout>
            <c:manualLayout>
              <c:xMode val="edge"/>
              <c:yMode val="edge"/>
              <c:x val="0.5169188823696208"/>
              <c:y val="0.91321718817997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246415"/>
        <c:crosses val="autoZero"/>
        <c:crossBetween val="midCat"/>
      </c:valAx>
      <c:valAx>
        <c:axId val="138824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Upp</a:t>
                </a:r>
                <a:r>
                  <a:rPr lang="pl-PL" baseline="0"/>
                  <a:t>out [V]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24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Pre-amp bandwidth</a:t>
            </a:r>
          </a:p>
        </c:rich>
      </c:tx>
      <c:layout>
        <c:manualLayout>
          <c:xMode val="edge"/>
          <c:yMode val="edge"/>
          <c:x val="0.47671734246515579"/>
          <c:y val="2.56136634888991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025852259797005"/>
          <c:y val="0.11100637297517289"/>
          <c:w val="0.85188020572572942"/>
          <c:h val="0.7563387454408471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Preamp_bandwidth!$R$9:$R$27</c:f>
              <c:numCache>
                <c:formatCode>0.0</c:formatCode>
                <c:ptCount val="19"/>
                <c:pt idx="0">
                  <c:v>16</c:v>
                </c:pt>
                <c:pt idx="1">
                  <c:v>17</c:v>
                </c:pt>
                <c:pt idx="2" formatCode="General">
                  <c:v>17.100000000000001</c:v>
                </c:pt>
                <c:pt idx="3">
                  <c:v>17.2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</c:numCache>
            </c:numRef>
          </c:xVal>
          <c:yVal>
            <c:numRef>
              <c:f>Preamp_bandwidth!$V$9:$V$27</c:f>
              <c:numCache>
                <c:formatCode>0.00</c:formatCode>
                <c:ptCount val="1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1D-474D-B4B2-6763C54E7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246895"/>
        <c:axId val="1388246415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1D-474D-B4B2-6763C54E7398}"/>
              </c:ext>
            </c:extLst>
          </c:dPt>
          <c:xVal>
            <c:numRef>
              <c:f>Preamp_bandwidth!$Y$43:$Y$44</c:f>
              <c:numCache>
                <c:formatCode>0.00</c:formatCode>
                <c:ptCount val="2"/>
                <c:pt idx="0">
                  <c:v>1</c:v>
                </c:pt>
                <c:pt idx="1">
                  <c:v>100</c:v>
                </c:pt>
              </c:numCache>
            </c:numRef>
          </c:xVal>
          <c:yVal>
            <c:numRef>
              <c:f>Preamp_bandwidth!$Z$43:$Z$44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1D-474D-B4B2-6763C54E739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A11D-474D-B4B2-6763C54E7398}"/>
              </c:ext>
            </c:extLst>
          </c:dPt>
          <c:xVal>
            <c:numRef>
              <c:f>Preamp_bandwidth!$Y$39:$Y$40</c:f>
              <c:numCache>
                <c:formatCode>0.00</c:formatCode>
                <c:ptCount val="2"/>
                <c:pt idx="0">
                  <c:v>1</c:v>
                </c:pt>
                <c:pt idx="1">
                  <c:v>100</c:v>
                </c:pt>
              </c:numCache>
            </c:numRef>
          </c:xVal>
          <c:yVal>
            <c:numRef>
              <c:f>Preamp_bandwidth!$Z$39:$Z$40</c:f>
              <c:numCache>
                <c:formatCode>0.00</c:formatCode>
                <c:ptCount val="2"/>
                <c:pt idx="0">
                  <c:v>-3</c:v>
                </c:pt>
                <c:pt idx="1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1D-474D-B4B2-6763C54E739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1D-474D-B4B2-6763C54E7398}"/>
              </c:ext>
            </c:extLst>
          </c:dPt>
          <c:dLbls>
            <c:dLbl>
              <c:idx val="0"/>
              <c:layout>
                <c:manualLayout>
                  <c:x val="7.3868882733148658E-3"/>
                  <c:y val="-6.5457140027186791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1D-474D-B4B2-6763C54E739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11D-474D-B4B2-6763C54E73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Preamp_bandwidth!$Y$48:$Y$49</c:f>
              <c:numCache>
                <c:formatCode>0.00</c:formatCode>
                <c:ptCount val="2"/>
                <c:pt idx="0">
                  <c:v>17.2</c:v>
                </c:pt>
                <c:pt idx="1">
                  <c:v>17.2</c:v>
                </c:pt>
              </c:numCache>
            </c:numRef>
          </c:xVal>
          <c:yVal>
            <c:numRef>
              <c:f>Preamp_bandwidth!$Z$48:$Z$49</c:f>
              <c:numCache>
                <c:formatCode>0.00</c:formatCode>
                <c:ptCount val="2"/>
                <c:pt idx="0">
                  <c:v>0</c:v>
                </c:pt>
                <c:pt idx="1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1D-474D-B4B2-6763C54E7398}"/>
            </c:ext>
          </c:extLst>
        </c:ser>
        <c:ser>
          <c:idx val="4"/>
          <c:order val="4"/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0175438596491224E-2"/>
                  <c:y val="-6.830310263706447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11D-474D-B4B2-6763C54E739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11D-474D-B4B2-6763C54E73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Preamp_bandwidth!$Y$52:$Y$53</c:f>
              <c:numCache>
                <c:formatCode>0.00</c:formatCode>
                <c:ptCount val="2"/>
                <c:pt idx="0">
                  <c:v>9.4</c:v>
                </c:pt>
                <c:pt idx="1">
                  <c:v>9.4</c:v>
                </c:pt>
              </c:numCache>
            </c:numRef>
          </c:xVal>
          <c:yVal>
            <c:numRef>
              <c:f>Preamp_bandwidth!$Z$52:$Z$53</c:f>
              <c:numCache>
                <c:formatCode>0.00</c:formatCode>
                <c:ptCount val="2"/>
                <c:pt idx="0">
                  <c:v>0</c:v>
                </c:pt>
                <c:pt idx="1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11D-474D-B4B2-6763C54E7398}"/>
            </c:ext>
          </c:extLst>
        </c:ser>
        <c:ser>
          <c:idx val="5"/>
          <c:order val="5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11D-474D-B4B2-6763C54E7398}"/>
              </c:ext>
            </c:extLst>
          </c:dPt>
          <c:dLbls>
            <c:dLbl>
              <c:idx val="0"/>
              <c:layout>
                <c:manualLayout>
                  <c:x val="5.5401662049861496E-3"/>
                  <c:y val="-5.976521480743151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11D-474D-B4B2-6763C54E739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11D-474D-B4B2-6763C54E73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Preamp_bandwidth!$Y$56:$Y$57</c:f>
              <c:numCache>
                <c:formatCode>0.00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xVal>
          <c:yVal>
            <c:numRef>
              <c:f>Preamp_bandwidth!$Z$56:$Z$57</c:f>
              <c:numCache>
                <c:formatCode>0.00</c:formatCode>
                <c:ptCount val="2"/>
                <c:pt idx="0">
                  <c:v>0</c:v>
                </c:pt>
                <c:pt idx="1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11D-474D-B4B2-6763C54E7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246895"/>
        <c:axId val="1388246415"/>
      </c:scatterChart>
      <c:valAx>
        <c:axId val="13882468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frequency [kHz] </a:t>
                </a:r>
              </a:p>
            </c:rich>
          </c:tx>
          <c:layout>
            <c:manualLayout>
              <c:xMode val="edge"/>
              <c:yMode val="edge"/>
              <c:x val="0.5169188823696208"/>
              <c:y val="0.91321718817997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246415"/>
        <c:crosses val="autoZero"/>
        <c:crossBetween val="midCat"/>
      </c:valAx>
      <c:valAx>
        <c:axId val="138824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Av=Upp</a:t>
                </a:r>
                <a:r>
                  <a:rPr lang="pl-PL" baseline="0"/>
                  <a:t>out/Uppin [dB]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8824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542925</xdr:colOff>
      <xdr:row>6</xdr:row>
      <xdr:rowOff>114301</xdr:rowOff>
    </xdr:from>
    <xdr:to>
      <xdr:col>38</xdr:col>
      <xdr:colOff>104775</xdr:colOff>
      <xdr:row>30</xdr:row>
      <xdr:rowOff>4763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81E3141D-0EF3-26DE-DD51-40E2B8D3A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371475</xdr:colOff>
      <xdr:row>31</xdr:row>
      <xdr:rowOff>114300</xdr:rowOff>
    </xdr:from>
    <xdr:to>
      <xdr:col>38</xdr:col>
      <xdr:colOff>542925</xdr:colOff>
      <xdr:row>55</xdr:row>
      <xdr:rowOff>4762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AEF1996-116A-49D2-B734-EA5B6A234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8416-7DB1-4FA4-BC75-17F12518C0CD}">
  <dimension ref="B3:M25"/>
  <sheetViews>
    <sheetView workbookViewId="0">
      <selection activeCell="O19" sqref="O19"/>
    </sheetView>
  </sheetViews>
  <sheetFormatPr defaultRowHeight="15" x14ac:dyDescent="0.25"/>
  <cols>
    <col min="12" max="12" width="12" bestFit="1" customWidth="1"/>
  </cols>
  <sheetData>
    <row r="3" spans="2:13" x14ac:dyDescent="0.25">
      <c r="I3" s="2">
        <v>10.48</v>
      </c>
      <c r="J3" t="s">
        <v>4</v>
      </c>
    </row>
    <row r="4" spans="2:13" x14ac:dyDescent="0.25">
      <c r="I4" s="2">
        <v>4.4000000000000004</v>
      </c>
      <c r="J4" t="s">
        <v>5</v>
      </c>
    </row>
    <row r="5" spans="2:13" x14ac:dyDescent="0.25">
      <c r="B5" t="s">
        <v>0</v>
      </c>
      <c r="C5" t="s">
        <v>1</v>
      </c>
      <c r="D5" t="s">
        <v>3</v>
      </c>
      <c r="E5" t="s">
        <v>2</v>
      </c>
    </row>
    <row r="6" spans="2:13" x14ac:dyDescent="0.25">
      <c r="B6" s="2">
        <v>9.6300000000000008</v>
      </c>
      <c r="C6" s="2">
        <v>8.31</v>
      </c>
      <c r="D6" s="2">
        <f>B6-C6</f>
        <v>1.3200000000000003</v>
      </c>
      <c r="E6" s="2">
        <f>D6/3</f>
        <v>0.44000000000000011</v>
      </c>
    </row>
    <row r="7" spans="2:13" x14ac:dyDescent="0.25">
      <c r="B7" s="2">
        <v>11.67</v>
      </c>
      <c r="C7" s="2">
        <v>10.31</v>
      </c>
      <c r="D7" s="2">
        <f>B7-C7</f>
        <v>1.3599999999999994</v>
      </c>
      <c r="E7" s="2">
        <f>D7/3</f>
        <v>0.45333333333333314</v>
      </c>
      <c r="I7" t="s">
        <v>7</v>
      </c>
      <c r="J7" t="s">
        <v>8</v>
      </c>
      <c r="L7" t="s">
        <v>9</v>
      </c>
    </row>
    <row r="8" spans="2:13" x14ac:dyDescent="0.25">
      <c r="B8" s="2">
        <v>13.11</v>
      </c>
      <c r="C8" s="2">
        <v>11.74</v>
      </c>
      <c r="D8" s="2">
        <f>B8-C8</f>
        <v>1.3699999999999992</v>
      </c>
      <c r="E8" s="2">
        <f>D8/3</f>
        <v>0.45666666666666639</v>
      </c>
    </row>
    <row r="9" spans="2:13" x14ac:dyDescent="0.25">
      <c r="B9" s="2">
        <v>13.8</v>
      </c>
      <c r="C9" s="2">
        <v>12.4</v>
      </c>
      <c r="D9" s="2">
        <f>B9-C9</f>
        <v>1.4000000000000004</v>
      </c>
      <c r="E9" s="2">
        <f>D9/3</f>
        <v>0.46666666666666679</v>
      </c>
      <c r="I9">
        <v>2.2000000000000002</v>
      </c>
      <c r="J9">
        <v>116</v>
      </c>
      <c r="L9">
        <f>(1/((2*PI()*J9*10^3)^2*I9*10^-9))*1000</f>
        <v>0.85566073635905715</v>
      </c>
    </row>
    <row r="10" spans="2:13" x14ac:dyDescent="0.25">
      <c r="B10" s="2">
        <v>14.66</v>
      </c>
      <c r="C10" s="2">
        <v>13.28</v>
      </c>
      <c r="D10" s="2">
        <f>B10-C10</f>
        <v>1.3800000000000008</v>
      </c>
      <c r="E10" s="2">
        <f>D10/3</f>
        <v>0.46000000000000024</v>
      </c>
      <c r="I10">
        <v>4.4000000000000004</v>
      </c>
      <c r="J10">
        <v>79</v>
      </c>
      <c r="L10">
        <f>(1/((2*PI()*J10*10^3)^2*I10*10^-9))*1000</f>
        <v>0.92242996863062587</v>
      </c>
    </row>
    <row r="11" spans="2:13" x14ac:dyDescent="0.25">
      <c r="B11" s="2"/>
      <c r="C11" s="2"/>
      <c r="I11">
        <v>22</v>
      </c>
      <c r="J11">
        <v>20</v>
      </c>
      <c r="L11">
        <f>(1/((2*PI()*J11*10^3)^2*I11*10^-9))*1000</f>
        <v>2.8784427171118687</v>
      </c>
    </row>
    <row r="12" spans="2:13" x14ac:dyDescent="0.25">
      <c r="B12" s="2"/>
      <c r="C12" s="2"/>
      <c r="I12">
        <v>0.01</v>
      </c>
      <c r="J12">
        <v>500</v>
      </c>
      <c r="L12">
        <f>(1/((2*PI()*J12*10^3)^2*I12*10^-9))*1000</f>
        <v>10.132118364233779</v>
      </c>
      <c r="M12" t="s">
        <v>10</v>
      </c>
    </row>
    <row r="15" spans="2:13" x14ac:dyDescent="0.25">
      <c r="I15" s="1"/>
    </row>
    <row r="18" spans="9:12" x14ac:dyDescent="0.25">
      <c r="I18">
        <v>138</v>
      </c>
      <c r="J18">
        <f>10^-(3/20)</f>
        <v>0.70794578438413791</v>
      </c>
    </row>
    <row r="20" spans="9:12" x14ac:dyDescent="0.25">
      <c r="I20">
        <f>I18*J18</f>
        <v>97.696518245011035</v>
      </c>
    </row>
    <row r="22" spans="9:12" x14ac:dyDescent="0.25">
      <c r="K22">
        <f>138/31.5</f>
        <v>4.3809523809523814</v>
      </c>
    </row>
    <row r="25" spans="9:12" x14ac:dyDescent="0.25">
      <c r="J25">
        <f>10.48/2.47</f>
        <v>4.2429149797570851</v>
      </c>
      <c r="L25">
        <f>SQRT(10.5/2.5)</f>
        <v>2.0493901531919199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B08E-F7FE-4A30-9997-7931476CFA36}">
  <dimension ref="B2:AA57"/>
  <sheetViews>
    <sheetView tabSelected="1" workbookViewId="0">
      <selection activeCell="R9" sqref="R9:R27"/>
    </sheetView>
  </sheetViews>
  <sheetFormatPr defaultRowHeight="15" x14ac:dyDescent="0.25"/>
  <cols>
    <col min="4" max="4" width="10.85546875" customWidth="1"/>
    <col min="16" max="16" width="11" customWidth="1"/>
    <col min="19" max="19" width="9.7109375" bestFit="1" customWidth="1"/>
    <col min="20" max="20" width="14.5703125" customWidth="1"/>
    <col min="21" max="21" width="14.28515625" customWidth="1"/>
    <col min="22" max="22" width="15.7109375" customWidth="1"/>
    <col min="23" max="23" width="13.28515625" customWidth="1"/>
    <col min="24" max="24" width="13.140625" customWidth="1"/>
  </cols>
  <sheetData>
    <row r="2" spans="2:26" x14ac:dyDescent="0.25">
      <c r="B2" s="4" t="s">
        <v>11</v>
      </c>
    </row>
    <row r="5" spans="2:26" x14ac:dyDescent="0.25">
      <c r="B5" t="s">
        <v>12</v>
      </c>
      <c r="P5" t="s">
        <v>36</v>
      </c>
      <c r="Q5">
        <f>S12/45</f>
        <v>0</v>
      </c>
    </row>
    <row r="6" spans="2:26" x14ac:dyDescent="0.25">
      <c r="P6" t="s">
        <v>37</v>
      </c>
      <c r="Q6" t="e">
        <f>20*LOG(Q5/0.001)</f>
        <v>#NUM!</v>
      </c>
    </row>
    <row r="7" spans="2:26" x14ac:dyDescent="0.25">
      <c r="B7" t="s">
        <v>14</v>
      </c>
      <c r="Y7" t="s">
        <v>27</v>
      </c>
    </row>
    <row r="8" spans="2:26" x14ac:dyDescent="0.25">
      <c r="B8" t="s">
        <v>13</v>
      </c>
      <c r="R8" t="s">
        <v>21</v>
      </c>
      <c r="Y8" t="s">
        <v>21</v>
      </c>
      <c r="Z8" t="s">
        <v>24</v>
      </c>
    </row>
    <row r="9" spans="2:26" x14ac:dyDescent="0.25">
      <c r="R9" s="3">
        <v>16</v>
      </c>
      <c r="S9" s="17"/>
      <c r="T9" s="2"/>
      <c r="U9" s="2"/>
      <c r="V9" s="2"/>
      <c r="W9" s="2"/>
      <c r="Y9" s="2">
        <v>1</v>
      </c>
      <c r="Z9" s="2">
        <v>1.7416799999999999</v>
      </c>
    </row>
    <row r="10" spans="2:26" x14ac:dyDescent="0.25">
      <c r="R10" s="3">
        <v>17</v>
      </c>
      <c r="S10" s="17"/>
      <c r="T10" s="2"/>
      <c r="U10" s="2"/>
      <c r="V10" s="2"/>
      <c r="W10" s="2"/>
      <c r="Y10" s="2">
        <v>100</v>
      </c>
      <c r="Z10" s="2">
        <f>0.708*$S$12</f>
        <v>0</v>
      </c>
    </row>
    <row r="11" spans="2:26" x14ac:dyDescent="0.25">
      <c r="B11" t="s">
        <v>23</v>
      </c>
      <c r="R11">
        <v>17.100000000000001</v>
      </c>
    </row>
    <row r="12" spans="2:26" x14ac:dyDescent="0.25">
      <c r="R12" s="7">
        <v>17.2</v>
      </c>
      <c r="S12" s="19"/>
      <c r="T12" s="2"/>
      <c r="U12" s="2"/>
      <c r="V12" s="2"/>
      <c r="W12" s="8"/>
      <c r="Y12" t="s">
        <v>28</v>
      </c>
    </row>
    <row r="13" spans="2:26" x14ac:dyDescent="0.25">
      <c r="B13" t="s">
        <v>15</v>
      </c>
      <c r="R13" s="3">
        <v>18</v>
      </c>
      <c r="S13" s="17"/>
      <c r="T13" s="2"/>
      <c r="U13" s="2"/>
      <c r="V13" s="2"/>
      <c r="W13" s="2"/>
      <c r="Y13" s="2">
        <v>1</v>
      </c>
      <c r="Z13" s="2">
        <f>S12</f>
        <v>0</v>
      </c>
    </row>
    <row r="14" spans="2:26" x14ac:dyDescent="0.25">
      <c r="R14" s="3">
        <v>20</v>
      </c>
      <c r="S14" s="17"/>
      <c r="T14" s="2"/>
      <c r="U14" s="2"/>
      <c r="V14" s="2"/>
      <c r="W14" s="2"/>
      <c r="Y14" s="2">
        <v>100</v>
      </c>
      <c r="Z14" s="2">
        <f>S12</f>
        <v>0</v>
      </c>
    </row>
    <row r="15" spans="2:26" x14ac:dyDescent="0.25">
      <c r="B15" t="s">
        <v>16</v>
      </c>
      <c r="R15" s="3">
        <v>22</v>
      </c>
      <c r="S15" s="17"/>
      <c r="T15" s="2"/>
      <c r="U15" s="2"/>
      <c r="V15" s="2"/>
      <c r="W15" s="2"/>
    </row>
    <row r="16" spans="2:26" x14ac:dyDescent="0.25">
      <c r="B16" s="5" t="s">
        <v>38</v>
      </c>
      <c r="E16" t="s">
        <v>39</v>
      </c>
      <c r="R16" s="3">
        <v>24</v>
      </c>
      <c r="S16" s="17"/>
      <c r="T16" s="2"/>
      <c r="U16" s="2"/>
      <c r="V16" s="2"/>
      <c r="W16" s="2"/>
    </row>
    <row r="17" spans="2:27" x14ac:dyDescent="0.25">
      <c r="B17" s="5" t="s">
        <v>17</v>
      </c>
      <c r="R17" s="3">
        <v>26</v>
      </c>
      <c r="S17" s="17"/>
      <c r="T17" s="2"/>
      <c r="U17" s="2"/>
      <c r="V17" s="2"/>
      <c r="W17" s="2"/>
      <c r="Y17" t="s">
        <v>6</v>
      </c>
    </row>
    <row r="18" spans="2:27" x14ac:dyDescent="0.25">
      <c r="B18" s="5" t="s">
        <v>40</v>
      </c>
      <c r="F18" t="s">
        <v>41</v>
      </c>
      <c r="R18" s="3">
        <v>28</v>
      </c>
      <c r="S18" s="17"/>
      <c r="T18" s="2"/>
      <c r="U18" s="2"/>
      <c r="V18" s="2"/>
      <c r="W18" s="2"/>
      <c r="Y18" s="2">
        <v>17.2</v>
      </c>
      <c r="Z18" s="2">
        <v>0</v>
      </c>
    </row>
    <row r="19" spans="2:27" x14ac:dyDescent="0.25">
      <c r="R19" s="3">
        <v>30</v>
      </c>
      <c r="S19" s="17"/>
      <c r="T19" s="2"/>
      <c r="U19" s="2"/>
      <c r="V19" s="2"/>
      <c r="W19" s="2"/>
      <c r="Y19" s="2">
        <v>17.2</v>
      </c>
      <c r="Z19" s="2">
        <v>2.6</v>
      </c>
    </row>
    <row r="20" spans="2:27" x14ac:dyDescent="0.25">
      <c r="B20" s="6" t="s">
        <v>18</v>
      </c>
      <c r="R20" s="9">
        <v>32</v>
      </c>
      <c r="S20" s="18"/>
      <c r="T20" s="2"/>
      <c r="U20" s="2"/>
      <c r="V20" s="2"/>
      <c r="W20" s="10"/>
    </row>
    <row r="21" spans="2:27" x14ac:dyDescent="0.25">
      <c r="R21" s="3">
        <v>40</v>
      </c>
      <c r="S21" s="17"/>
      <c r="T21" s="2"/>
      <c r="U21" s="2"/>
      <c r="V21" s="2"/>
      <c r="W21" s="2"/>
      <c r="Y21" t="s">
        <v>29</v>
      </c>
    </row>
    <row r="22" spans="2:27" x14ac:dyDescent="0.25">
      <c r="B22" t="s">
        <v>19</v>
      </c>
      <c r="R22" s="3">
        <v>50</v>
      </c>
      <c r="S22" s="17"/>
      <c r="T22" s="2"/>
      <c r="U22" s="2"/>
      <c r="V22" s="2"/>
      <c r="W22" s="2"/>
      <c r="Y22" s="2">
        <v>9.4</v>
      </c>
      <c r="Z22" s="2">
        <v>0</v>
      </c>
    </row>
    <row r="23" spans="2:27" x14ac:dyDescent="0.25">
      <c r="R23" s="3">
        <v>60</v>
      </c>
      <c r="S23" s="17"/>
      <c r="T23" s="2"/>
      <c r="U23" s="2"/>
      <c r="V23" s="2"/>
      <c r="W23" s="2"/>
      <c r="Y23" s="2">
        <v>9.4</v>
      </c>
      <c r="Z23" s="2">
        <v>1.9</v>
      </c>
    </row>
    <row r="24" spans="2:27" x14ac:dyDescent="0.25">
      <c r="B24" t="s">
        <v>25</v>
      </c>
      <c r="R24" s="3">
        <v>70</v>
      </c>
      <c r="S24" s="17"/>
      <c r="T24" s="2"/>
      <c r="U24" s="2"/>
      <c r="V24" s="2"/>
      <c r="W24" s="2"/>
    </row>
    <row r="25" spans="2:27" x14ac:dyDescent="0.25">
      <c r="R25" s="3">
        <v>80</v>
      </c>
      <c r="S25" s="17"/>
      <c r="T25" s="2"/>
      <c r="U25" s="2"/>
      <c r="V25" s="2"/>
      <c r="W25" s="2"/>
      <c r="Y25" t="s">
        <v>30</v>
      </c>
    </row>
    <row r="26" spans="2:27" x14ac:dyDescent="0.25">
      <c r="B26" t="s">
        <v>26</v>
      </c>
      <c r="R26" s="3">
        <v>90</v>
      </c>
      <c r="S26" s="17"/>
      <c r="T26" s="2"/>
      <c r="U26" s="2"/>
      <c r="V26" s="2"/>
      <c r="W26" s="2"/>
      <c r="Y26" s="2">
        <v>32</v>
      </c>
      <c r="Z26" s="2">
        <v>0</v>
      </c>
    </row>
    <row r="27" spans="2:27" x14ac:dyDescent="0.25">
      <c r="R27" s="3">
        <v>100</v>
      </c>
      <c r="S27" s="17"/>
      <c r="T27" s="2"/>
      <c r="U27" s="2"/>
      <c r="V27" s="2"/>
      <c r="W27" s="2"/>
      <c r="Y27" s="2">
        <v>32</v>
      </c>
      <c r="Z27" s="2">
        <v>1.9</v>
      </c>
    </row>
    <row r="28" spans="2:27" x14ac:dyDescent="0.25">
      <c r="B28" t="s">
        <v>20</v>
      </c>
    </row>
    <row r="30" spans="2:27" x14ac:dyDescent="0.25">
      <c r="B30" t="s">
        <v>22</v>
      </c>
      <c r="U30" s="2"/>
    </row>
    <row r="32" spans="2:27" x14ac:dyDescent="0.25">
      <c r="Z32" s="12" t="e">
        <f>Z33+AA33</f>
        <v>#REF!</v>
      </c>
      <c r="AA32" s="13"/>
    </row>
    <row r="33" spans="2:27" x14ac:dyDescent="0.25">
      <c r="Z33" s="3" t="e">
        <f>R12-#REF!</f>
        <v>#REF!</v>
      </c>
      <c r="AA33" s="3">
        <f>R20-R12</f>
        <v>14.8</v>
      </c>
    </row>
    <row r="34" spans="2:27" x14ac:dyDescent="0.25">
      <c r="F34" s="2"/>
    </row>
    <row r="37" spans="2:27" x14ac:dyDescent="0.25">
      <c r="Y37" t="s">
        <v>27</v>
      </c>
    </row>
    <row r="38" spans="2:27" x14ac:dyDescent="0.25">
      <c r="B38" s="15" t="s">
        <v>32</v>
      </c>
      <c r="C38" s="15">
        <v>8.1999999999999993</v>
      </c>
      <c r="D38" s="15" t="s">
        <v>5</v>
      </c>
      <c r="Y38" t="s">
        <v>21</v>
      </c>
      <c r="Z38" s="11" t="s">
        <v>31</v>
      </c>
    </row>
    <row r="39" spans="2:27" x14ac:dyDescent="0.25">
      <c r="B39" s="15" t="s">
        <v>33</v>
      </c>
      <c r="C39" s="15">
        <v>0</v>
      </c>
      <c r="D39" s="15" t="s">
        <v>5</v>
      </c>
      <c r="Y39" s="2">
        <v>1</v>
      </c>
      <c r="Z39" s="2">
        <f>V12-3</f>
        <v>-3</v>
      </c>
    </row>
    <row r="40" spans="2:27" x14ac:dyDescent="0.25">
      <c r="B40" s="15" t="s">
        <v>34</v>
      </c>
      <c r="C40" s="15">
        <v>10.35</v>
      </c>
      <c r="D40" s="15" t="s">
        <v>4</v>
      </c>
      <c r="Y40" s="2">
        <v>100</v>
      </c>
      <c r="Z40" s="2">
        <f>V12-3</f>
        <v>-3</v>
      </c>
    </row>
    <row r="42" spans="2:27" x14ac:dyDescent="0.25">
      <c r="B42" s="14" t="s">
        <v>6</v>
      </c>
      <c r="C42" s="16">
        <f>1/(2*PI()*SQRT(C40*10^-3*(C38+C39)*10^-9))</f>
        <v>17275.993443474956</v>
      </c>
      <c r="D42" s="14" t="s">
        <v>35</v>
      </c>
      <c r="Y42" t="s">
        <v>28</v>
      </c>
    </row>
    <row r="43" spans="2:27" x14ac:dyDescent="0.25">
      <c r="Y43" s="2">
        <v>1</v>
      </c>
      <c r="Z43" s="2">
        <f>V12</f>
        <v>0</v>
      </c>
    </row>
    <row r="44" spans="2:27" x14ac:dyDescent="0.25">
      <c r="Y44" s="2">
        <v>100</v>
      </c>
      <c r="Z44" s="2">
        <f>V12</f>
        <v>0</v>
      </c>
    </row>
    <row r="47" spans="2:27" x14ac:dyDescent="0.25">
      <c r="Y47" t="s">
        <v>6</v>
      </c>
    </row>
    <row r="48" spans="2:27" x14ac:dyDescent="0.25">
      <c r="Y48" s="2">
        <v>17.2</v>
      </c>
      <c r="Z48" s="2">
        <v>0</v>
      </c>
    </row>
    <row r="49" spans="25:26" x14ac:dyDescent="0.25">
      <c r="Y49" s="2">
        <v>17.2</v>
      </c>
      <c r="Z49" s="2">
        <v>55</v>
      </c>
    </row>
    <row r="51" spans="25:26" x14ac:dyDescent="0.25">
      <c r="Y51" t="s">
        <v>29</v>
      </c>
    </row>
    <row r="52" spans="25:26" x14ac:dyDescent="0.25">
      <c r="Y52" s="2">
        <v>9.4</v>
      </c>
      <c r="Z52" s="2">
        <v>0</v>
      </c>
    </row>
    <row r="53" spans="25:26" x14ac:dyDescent="0.25">
      <c r="Y53" s="2">
        <v>9.4</v>
      </c>
      <c r="Z53" s="2">
        <v>55</v>
      </c>
    </row>
    <row r="55" spans="25:26" x14ac:dyDescent="0.25">
      <c r="Y55" t="s">
        <v>30</v>
      </c>
    </row>
    <row r="56" spans="25:26" x14ac:dyDescent="0.25">
      <c r="Y56" s="2">
        <v>32</v>
      </c>
      <c r="Z56" s="2">
        <v>0</v>
      </c>
    </row>
    <row r="57" spans="25:26" x14ac:dyDescent="0.25">
      <c r="Y57" s="2">
        <v>32</v>
      </c>
      <c r="Z57" s="2">
        <v>55</v>
      </c>
    </row>
  </sheetData>
  <mergeCells count="1">
    <mergeCell ref="Z32:AA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Resonance Calculation</vt:lpstr>
      <vt:lpstr>Preamp_bandwidth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Mazur</dc:creator>
  <cp:lastModifiedBy>Andrzej Mazur</cp:lastModifiedBy>
  <dcterms:created xsi:type="dcterms:W3CDTF">2025-10-18T10:55:23Z</dcterms:created>
  <dcterms:modified xsi:type="dcterms:W3CDTF">2025-12-26T21:27:41Z</dcterms:modified>
</cp:coreProperties>
</file>
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AQ\meas\"/>
    </mc:Choice>
  </mc:AlternateContent>
  <xr:revisionPtr revIDLastSave="0" documentId="13_ncr:1_{A32D305D-B65E-47DD-B4DE-129AC09C1475}" xr6:coauthVersionLast="47" xr6:coauthVersionMax="47" xr10:uidLastSave="{00000000-0000-0000-0000-000000000000}"/>
  <bookViews>
    <workbookView xWindow="-120" yWindow="-120" windowWidth="29040" windowHeight="15720" activeTab="1" xr2:uid="{CB450F67-C83A-4305-ACBC-60FD295E7ED8}"/>
  </bookViews>
  <sheets>
    <sheet name="Arkusz1" sheetId="1" r:id="rId1"/>
    <sheet name="Preamp_bandwid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4" i="2" l="1"/>
  <c r="Y43" i="2"/>
  <c r="Y40" i="2"/>
  <c r="Y39" i="2"/>
  <c r="U9" i="2"/>
  <c r="B34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Z33" i="2"/>
  <c r="Y32" i="2" s="1"/>
  <c r="Y33" i="2"/>
  <c r="Y14" i="2"/>
  <c r="Y13" i="2"/>
  <c r="Y10" i="2"/>
  <c r="T29" i="2"/>
  <c r="T30" i="2"/>
  <c r="T31" i="2"/>
  <c r="V31" i="2" s="1"/>
  <c r="T32" i="2"/>
  <c r="T19" i="2"/>
  <c r="T20" i="2"/>
  <c r="T21" i="2"/>
  <c r="T22" i="2"/>
  <c r="T23" i="2"/>
  <c r="S33" i="2"/>
  <c r="T33" i="2" s="1"/>
  <c r="S16" i="2"/>
  <c r="T16" i="2" s="1"/>
  <c r="T25" i="2"/>
  <c r="T26" i="2"/>
  <c r="T27" i="2"/>
  <c r="T28" i="2"/>
  <c r="T34" i="2"/>
  <c r="V34" i="2" s="1"/>
  <c r="T35" i="2"/>
  <c r="T36" i="2"/>
  <c r="T37" i="2"/>
  <c r="T38" i="2"/>
  <c r="V38" i="2" s="1"/>
  <c r="T39" i="2"/>
  <c r="T40" i="2"/>
  <c r="T9" i="2"/>
  <c r="T10" i="2"/>
  <c r="V10" i="2" s="1"/>
  <c r="T11" i="2"/>
  <c r="T12" i="2"/>
  <c r="T13" i="2"/>
  <c r="T14" i="2"/>
  <c r="V14" i="2" s="1"/>
  <c r="T15" i="2"/>
  <c r="T17" i="2"/>
  <c r="T18" i="2"/>
  <c r="T24" i="2"/>
  <c r="V24" i="2" s="1"/>
  <c r="L25" i="1"/>
  <c r="J25" i="1"/>
  <c r="K22" i="1"/>
  <c r="I20" i="1"/>
  <c r="J18" i="1"/>
  <c r="L12" i="1"/>
  <c r="L11" i="1"/>
  <c r="L9" i="1"/>
  <c r="L10" i="1"/>
  <c r="D9" i="1"/>
  <c r="E9" i="1" s="1"/>
  <c r="D8" i="1"/>
  <c r="E8" i="1" s="1"/>
  <c r="D10" i="1"/>
  <c r="E10" i="1" s="1"/>
  <c r="D7" i="1"/>
  <c r="E7" i="1"/>
  <c r="D6" i="1"/>
  <c r="E6" i="1" s="1"/>
  <c r="V32" i="2" l="1"/>
  <c r="V30" i="2"/>
  <c r="V29" i="2"/>
  <c r="V22" i="2"/>
  <c r="V28" i="2"/>
  <c r="V20" i="2"/>
  <c r="V15" i="2"/>
  <c r="V21" i="2"/>
  <c r="V18" i="2"/>
  <c r="V13" i="2"/>
  <c r="V9" i="2"/>
  <c r="V37" i="2"/>
  <c r="V16" i="2"/>
  <c r="V23" i="2"/>
  <c r="V27" i="2"/>
  <c r="V12" i="2"/>
  <c r="V33" i="2"/>
  <c r="V17" i="2"/>
  <c r="V26" i="2"/>
  <c r="V19" i="2"/>
  <c r="V11" i="2"/>
  <c r="V40" i="2"/>
  <c r="V36" i="2"/>
  <c r="V39" i="2"/>
  <c r="V35" i="2"/>
  <c r="V25" i="2"/>
</calcChain>
</file>

<file path=xl/sharedStrings.xml><?xml version="1.0" encoding="utf-8"?>
<sst xmlns="http://schemas.openxmlformats.org/spreadsheetml/2006/main" count="46" uniqueCount="38">
  <si>
    <t>in</t>
  </si>
  <si>
    <t>out</t>
  </si>
  <si>
    <t>uf</t>
  </si>
  <si>
    <t>ud</t>
  </si>
  <si>
    <t>mH</t>
  </si>
  <si>
    <t>nF</t>
  </si>
  <si>
    <t>f0</t>
  </si>
  <si>
    <t>C[nF]</t>
  </si>
  <si>
    <t>f0[kHz]</t>
  </si>
  <si>
    <t>L[mH]</t>
  </si>
  <si>
    <t>with no cap…</t>
  </si>
  <si>
    <t>3dB Bandwidth Measurement for SAQ pre-amp</t>
  </si>
  <si>
    <t>Setup</t>
  </si>
  <si>
    <t>Oscilloscope connected to preamp output - it measures preamp output voltage accross 1k load resistor, which is part of the curcuit</t>
  </si>
  <si>
    <t>Arbitrary waveform generator (AWG) connected directly to primary winding instead of antenna.</t>
  </si>
  <si>
    <t>It is assumed that preamps input LC tank is already tuned to 17.2kHz, i.e. circuits max. observed output voltage is seen at around this frequency</t>
  </si>
  <si>
    <t xml:space="preserve">1. Set  AWG according to below settings </t>
  </si>
  <si>
    <t>center frequency: 17.2kHz</t>
  </si>
  <si>
    <t>output impedance: 50ohm</t>
  </si>
  <si>
    <t>output amplitude: -40dBm (6mVpp)</t>
  </si>
  <si>
    <t>2. Take a output voltage reading at center frequency</t>
  </si>
  <si>
    <t>3. Calculate coresponding -3dB voltage level</t>
  </si>
  <si>
    <t>6. Calculate bandwidth of preamp as BW = fmax - fmin [kHkz]</t>
  </si>
  <si>
    <t>f [kHz]</t>
  </si>
  <si>
    <t>During measurements make sure that AWGoutput voltage stays constants for all measurements</t>
  </si>
  <si>
    <t>Measurement Procedure</t>
  </si>
  <si>
    <t>Uppout[V]</t>
  </si>
  <si>
    <t>Uppout[dBm]</t>
  </si>
  <si>
    <t>deltaUpp [dB]</t>
  </si>
  <si>
    <t>4. Shift frequency to the left until output voltage drops by 0.708 of its maximum value (-3dB) and take a reading U1out(-3dB)[V] and fmin [kHz]</t>
  </si>
  <si>
    <t>5. Shift frequency to the right until output voltage drops by 0.708 of its maximum value (-3dB) and take a reading of U2out(-3dB)[V] and fmax [kHz]</t>
  </si>
  <si>
    <t>3dB line</t>
  </si>
  <si>
    <t>max line</t>
  </si>
  <si>
    <t>fmin</t>
  </si>
  <si>
    <t>fmax</t>
  </si>
  <si>
    <t>Uppout/Uin [dB]</t>
  </si>
  <si>
    <t>???</t>
  </si>
  <si>
    <t>A[dB]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</si>
</sst>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164" fontId="0" fillId="2" borderId="0" xfId="0" applyNumberFormat="1" applyFill="1"/>
    <xf numFmtId="2" fontId="0" fillId="2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Pre-amp bandwidth</a:t>
            </a:r>
          </a:p>
        </c:rich>
      </c:tx>
      <c:layout>
        <c:manualLayout>
          <c:xMode val="edge"/>
          <c:yMode val="edge"/>
          <c:x val="0.47671734246515579"/>
          <c:y val="2.5613663488899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25852259797005"/>
          <c:y val="0.11100637297517289"/>
          <c:w val="0.85188020572572942"/>
          <c:h val="0.756338745440847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Preamp_bandwidth!$R$9:$R$40</c:f>
              <c:numCache>
                <c:formatCode>0.0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9.4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17.2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40</c:v>
                </c:pt>
                <c:pt idx="26">
                  <c:v>50</c:v>
                </c:pt>
                <c:pt idx="27">
                  <c:v>60</c:v>
                </c:pt>
                <c:pt idx="28">
                  <c:v>70</c:v>
                </c:pt>
                <c:pt idx="29">
                  <c:v>80</c:v>
                </c:pt>
                <c:pt idx="30">
                  <c:v>90</c:v>
                </c:pt>
                <c:pt idx="31">
                  <c:v>100</c:v>
                </c:pt>
              </c:numCache>
            </c:numRef>
          </c:xVal>
          <c:yVal>
            <c:numRef>
              <c:f>Preamp_bandwidth!$S$9:$S$40</c:f>
              <c:numCache>
                <c:formatCode>0.00</c:formatCode>
                <c:ptCount val="32"/>
                <c:pt idx="0">
                  <c:v>0.13400000000000001</c:v>
                </c:pt>
                <c:pt idx="1">
                  <c:v>0.33400000000000002</c:v>
                </c:pt>
                <c:pt idx="2">
                  <c:v>0.57999999999999996</c:v>
                </c:pt>
                <c:pt idx="3">
                  <c:v>0.84</c:v>
                </c:pt>
                <c:pt idx="4">
                  <c:v>1.08</c:v>
                </c:pt>
                <c:pt idx="5">
                  <c:v>1.3</c:v>
                </c:pt>
                <c:pt idx="6">
                  <c:v>1.5</c:v>
                </c:pt>
                <c:pt idx="7">
                  <c:v>1.7416799999999999</c:v>
                </c:pt>
                <c:pt idx="8">
                  <c:v>1.88</c:v>
                </c:pt>
                <c:pt idx="9">
                  <c:v>2</c:v>
                </c:pt>
                <c:pt idx="10">
                  <c:v>2.12</c:v>
                </c:pt>
                <c:pt idx="11">
                  <c:v>2.2200000000000002</c:v>
                </c:pt>
                <c:pt idx="12">
                  <c:v>2.2999999999999998</c:v>
                </c:pt>
                <c:pt idx="13">
                  <c:v>2.36</c:v>
                </c:pt>
                <c:pt idx="14">
                  <c:v>2.4</c:v>
                </c:pt>
                <c:pt idx="15">
                  <c:v>2.42</c:v>
                </c:pt>
                <c:pt idx="16">
                  <c:v>2.46</c:v>
                </c:pt>
                <c:pt idx="17">
                  <c:v>2.46</c:v>
                </c:pt>
                <c:pt idx="18">
                  <c:v>2.42</c:v>
                </c:pt>
                <c:pt idx="19">
                  <c:v>2.4</c:v>
                </c:pt>
                <c:pt idx="20" formatCode="General">
                  <c:v>2.2799999999999998</c:v>
                </c:pt>
                <c:pt idx="21" formatCode="General">
                  <c:v>2.14</c:v>
                </c:pt>
                <c:pt idx="22" formatCode="General">
                  <c:v>2.04</c:v>
                </c:pt>
                <c:pt idx="23" formatCode="General">
                  <c:v>1.9</c:v>
                </c:pt>
                <c:pt idx="24">
                  <c:v>1.7416799999999999</c:v>
                </c:pt>
                <c:pt idx="25">
                  <c:v>1.21</c:v>
                </c:pt>
                <c:pt idx="26">
                  <c:v>0.752</c:v>
                </c:pt>
                <c:pt idx="27">
                  <c:v>0.48</c:v>
                </c:pt>
                <c:pt idx="28">
                  <c:v>0.316</c:v>
                </c:pt>
                <c:pt idx="29">
                  <c:v>0.224</c:v>
                </c:pt>
                <c:pt idx="30">
                  <c:v>0.17</c:v>
                </c:pt>
                <c:pt idx="31">
                  <c:v>0.122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FA-442A-9610-846A0C980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scatterChart>
        <c:scatterStyle val="lineMarker"/>
        <c:varyColors val="0"/>
        <c:ser>
          <c:idx val="1"/>
          <c:order val="1"/>
          <c:tx>
            <c:v>-3dB+Preamp_bandwidth!$W$9:$W$10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84579870729455209"/>
                  <c:y val="-5.217537844666680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FA-442A-9610-846A0C980554}"/>
                </c:ext>
              </c:extLst>
            </c:dLbl>
            <c:dLbl>
              <c:idx val="1"/>
              <c:layout>
                <c:manualLayout>
                  <c:x val="-0.71652816251154205"/>
                  <c:y val="-1.99217382691438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-3dB (BW = 22,6kHz)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0FA-442A-9610-846A0C980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Preamp_bandwidth!$X$9:$X$10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Preamp_bandwidth!$Y$9:$Y$10</c:f>
              <c:numCache>
                <c:formatCode>0.00</c:formatCode>
                <c:ptCount val="2"/>
                <c:pt idx="0">
                  <c:v>1.7416799999999999</c:v>
                </c:pt>
                <c:pt idx="1">
                  <c:v>1.7416799999999999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A-442A-9610-846A0C980554}"/>
            </c:ext>
          </c:extLst>
        </c:ser>
        <c:ser>
          <c:idx val="2"/>
          <c:order val="2"/>
          <c:tx>
            <c:v>Max Output</c:v>
          </c:tx>
          <c:spPr>
            <a:ln w="1905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FA-442A-9610-846A0C980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Preamp_bandwidth!$X$13:$X$14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Preamp_bandwidth!$Y$13:$Y$14</c:f>
              <c:numCache>
                <c:formatCode>0.00</c:formatCode>
                <c:ptCount val="2"/>
                <c:pt idx="0">
                  <c:v>2.46</c:v>
                </c:pt>
                <c:pt idx="1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FA-442A-9610-846A0C980554}"/>
            </c:ext>
          </c:extLst>
        </c:ser>
        <c:ser>
          <c:idx val="3"/>
          <c:order val="3"/>
          <c:tx>
            <c:v>Center Frequecy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3332751688587403E-2"/>
                  <c:y val="-8.660869269026838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FA-442A-9610-846A0C9805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FA-442A-9610-846A0C9805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Preamp_bandwidth!$X$18:$X$19</c:f>
              <c:numCache>
                <c:formatCode>0.00</c:formatCode>
                <c:ptCount val="2"/>
                <c:pt idx="0">
                  <c:v>17.2</c:v>
                </c:pt>
                <c:pt idx="1">
                  <c:v>17.2</c:v>
                </c:pt>
              </c:numCache>
            </c:numRef>
          </c:xVal>
          <c:yVal>
            <c:numRef>
              <c:f>Preamp_bandwidth!$Y$18:$Y$19</c:f>
              <c:numCache>
                <c:formatCode>0.00</c:formatCode>
                <c:ptCount val="2"/>
                <c:pt idx="0">
                  <c:v>0</c:v>
                </c:pt>
                <c:pt idx="1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FA-442A-9610-846A0C980554}"/>
            </c:ext>
          </c:extLst>
        </c:ser>
        <c:ser>
          <c:idx val="4"/>
          <c:order val="4"/>
          <c:tx>
            <c:v>fmin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0684741277146518E-2"/>
                  <c:y val="-8.660869269026838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FA-442A-9610-846A0C9805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FA-442A-9610-846A0C9805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Preamp_bandwidth!$X$22:$X$23</c:f>
              <c:numCache>
                <c:formatCode>0.00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Preamp_bandwidth!$Y$22:$Y$23</c:f>
              <c:numCache>
                <c:formatCode>0.00</c:formatCode>
                <c:ptCount val="2"/>
                <c:pt idx="0">
                  <c:v>0</c:v>
                </c:pt>
                <c:pt idx="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FA-442A-9610-846A0C980554}"/>
            </c:ext>
          </c:extLst>
        </c:ser>
        <c:ser>
          <c:idx val="5"/>
          <c:order val="5"/>
          <c:tx>
            <c:v>fmax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093971979264365E-2"/>
                  <c:y val="-8.64616886373486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FA-442A-9610-846A0C9805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FA-442A-9610-846A0C9805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Preamp_bandwidth!$X$26:$X$27</c:f>
              <c:numCache>
                <c:formatCode>0.00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Preamp_bandwidth!$Y$26:$Y$27</c:f>
              <c:numCache>
                <c:formatCode>0.00</c:formatCode>
                <c:ptCount val="2"/>
                <c:pt idx="0">
                  <c:v>0</c:v>
                </c:pt>
                <c:pt idx="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FA-442A-9610-846A0C980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valAx>
        <c:axId val="13882468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frequency [kHz] </a:t>
                </a:r>
              </a:p>
            </c:rich>
          </c:tx>
          <c:layout>
            <c:manualLayout>
              <c:xMode val="edge"/>
              <c:yMode val="edge"/>
              <c:x val="0.5169188823696208"/>
              <c:y val="0.9132171881799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415"/>
        <c:crosses val="autoZero"/>
        <c:crossBetween val="midCat"/>
      </c:valAx>
      <c:valAx>
        <c:axId val="13882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Upp</a:t>
                </a:r>
                <a:r>
                  <a:rPr lang="pl-PL" baseline="0"/>
                  <a:t>out [V]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Pre-amp bandwidth</a:t>
            </a:r>
          </a:p>
        </c:rich>
      </c:tx>
      <c:layout>
        <c:manualLayout>
          <c:xMode val="edge"/>
          <c:yMode val="edge"/>
          <c:x val="0.47671734246515579"/>
          <c:y val="2.5613663488899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25852259797005"/>
          <c:y val="0.11100637297517289"/>
          <c:w val="0.85188020572572942"/>
          <c:h val="0.756338745440847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Preamp_bandwidth!$R$9:$R$40</c:f>
              <c:numCache>
                <c:formatCode>0.0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9.4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17.2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40</c:v>
                </c:pt>
                <c:pt idx="26">
                  <c:v>50</c:v>
                </c:pt>
                <c:pt idx="27">
                  <c:v>60</c:v>
                </c:pt>
                <c:pt idx="28">
                  <c:v>70</c:v>
                </c:pt>
                <c:pt idx="29">
                  <c:v>80</c:v>
                </c:pt>
                <c:pt idx="30">
                  <c:v>90</c:v>
                </c:pt>
                <c:pt idx="31">
                  <c:v>100</c:v>
                </c:pt>
              </c:numCache>
            </c:numRef>
          </c:xVal>
          <c:yVal>
            <c:numRef>
              <c:f>Preamp_bandwidth!$U$9:$U$40</c:f>
              <c:numCache>
                <c:formatCode>0.00</c:formatCode>
                <c:ptCount val="32"/>
                <c:pt idx="0">
                  <c:v>26.979070959623282</c:v>
                </c:pt>
                <c:pt idx="1">
                  <c:v>34.911904328558421</c:v>
                </c:pt>
                <c:pt idx="2">
                  <c:v>39.705534863585875</c:v>
                </c:pt>
                <c:pt idx="3">
                  <c:v>42.922560713564764</c:v>
                </c:pt>
                <c:pt idx="4">
                  <c:v>45.105450102066122</c:v>
                </c:pt>
                <c:pt idx="5">
                  <c:v>46.715842038463862</c:v>
                </c:pt>
                <c:pt idx="6">
                  <c:v>47.95880017344075</c:v>
                </c:pt>
                <c:pt idx="7">
                  <c:v>49.256342288190083</c:v>
                </c:pt>
                <c:pt idx="8">
                  <c:v>49.920131977600725</c:v>
                </c:pt>
                <c:pt idx="9">
                  <c:v>50.457574905606748</c:v>
                </c:pt>
                <c:pt idx="10">
                  <c:v>50.963692210902153</c:v>
                </c:pt>
                <c:pt idx="11">
                  <c:v>51.3640344813399</c:v>
                </c:pt>
                <c:pt idx="12">
                  <c:v>51.671531712678984</c:v>
                </c:pt>
                <c:pt idx="13">
                  <c:v>51.895215051729259</c:v>
                </c:pt>
                <c:pt idx="14">
                  <c:v>52.04119982655925</c:v>
                </c:pt>
                <c:pt idx="15">
                  <c:v>52.113282311935755</c:v>
                </c:pt>
                <c:pt idx="16">
                  <c:v>52.255677134394709</c:v>
                </c:pt>
                <c:pt idx="17">
                  <c:v>52.255677134394709</c:v>
                </c:pt>
                <c:pt idx="18">
                  <c:v>52.113282311935755</c:v>
                </c:pt>
                <c:pt idx="19">
                  <c:v>52.04119982655925</c:v>
                </c:pt>
                <c:pt idx="20">
                  <c:v>51.595671932336202</c:v>
                </c:pt>
                <c:pt idx="21">
                  <c:v>51.045250459310942</c:v>
                </c:pt>
                <c:pt idx="22">
                  <c:v>50.6295783408451</c:v>
                </c:pt>
                <c:pt idx="23">
                  <c:v>50.012047011383707</c:v>
                </c:pt>
                <c:pt idx="24">
                  <c:v>49.256342288190083</c:v>
                </c:pt>
                <c:pt idx="25">
                  <c:v>46.09268239865613</c:v>
                </c:pt>
                <c:pt idx="26">
                  <c:v>41.961331804159975</c:v>
                </c:pt>
                <c:pt idx="27">
                  <c:v>38.061799739838868</c:v>
                </c:pt>
                <c:pt idx="28">
                  <c:v>34.430716644695202</c:v>
                </c:pt>
                <c:pt idx="29">
                  <c:v>31.441935359010383</c:v>
                </c:pt>
                <c:pt idx="30">
                  <c:v>29.045953419892605</c:v>
                </c:pt>
                <c:pt idx="31">
                  <c:v>26.164171605822091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1D-474D-B4B2-6763C54E7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1D-474D-B4B2-6763C54E7398}"/>
              </c:ext>
            </c:extLst>
          </c:dPt>
          <c:xVal>
            <c:numRef>
              <c:f>Preamp_bandwidth!$X$43:$X$44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Preamp_bandwidth!$Y$43:$Y$44</c:f>
              <c:numCache>
                <c:formatCode>0.00</c:formatCode>
                <c:ptCount val="2"/>
                <c:pt idx="0">
                  <c:v>52.255677134394709</c:v>
                </c:pt>
                <c:pt idx="1">
                  <c:v>52.255677134394709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D-474D-B4B2-6763C54E739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11D-474D-B4B2-6763C54E7398}"/>
              </c:ext>
            </c:extLst>
          </c:dPt>
          <c:xVal>
            <c:numRef>
              <c:f>Preamp_bandwidth!$X$39:$X$40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Preamp_bandwidth!$Y$39:$Y$40</c:f>
              <c:numCache>
                <c:formatCode>0.00</c:formatCode>
                <c:ptCount val="2"/>
                <c:pt idx="0">
                  <c:v>49.255677134394709</c:v>
                </c:pt>
                <c:pt idx="1">
                  <c:v>49.255677134394709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1D-474D-B4B2-6763C54E739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1D-474D-B4B2-6763C54E7398}"/>
              </c:ext>
            </c:extLst>
          </c:dPt>
          <c:dLbls>
            <c:dLbl>
              <c:idx val="0"/>
              <c:layout>
                <c:manualLayout>
                  <c:x val="7.3868882733148658E-3"/>
                  <c:y val="-6.545714002718679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1D-474D-B4B2-6763C54E73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1D-474D-B4B2-6763C54E7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Preamp_bandwidth!$X$48:$X$49</c:f>
              <c:numCache>
                <c:formatCode>0.00</c:formatCode>
                <c:ptCount val="2"/>
                <c:pt idx="0">
                  <c:v>17.2</c:v>
                </c:pt>
                <c:pt idx="1">
                  <c:v>17.2</c:v>
                </c:pt>
              </c:numCache>
            </c:numRef>
          </c:xVal>
          <c:yVal>
            <c:numRef>
              <c:f>Preamp_bandwidth!$Y$48:$Y$49</c:f>
              <c:numCache>
                <c:formatCode>0.00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1D-474D-B4B2-6763C54E7398}"/>
            </c:ext>
          </c:extLst>
        </c:ser>
        <c:ser>
          <c:idx val="4"/>
          <c:order val="4"/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0175438596491224E-2"/>
                  <c:y val="-6.830310263706447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1D-474D-B4B2-6763C54E73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1D-474D-B4B2-6763C54E7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Preamp_bandwidth!$X$52:$X$53</c:f>
              <c:numCache>
                <c:formatCode>0.00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Preamp_bandwidth!$Y$52:$Y$53</c:f>
              <c:numCache>
                <c:formatCode>0.00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11D-474D-B4B2-6763C54E7398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11D-474D-B4B2-6763C54E7398}"/>
              </c:ext>
            </c:extLst>
          </c:dPt>
          <c:dLbls>
            <c:dLbl>
              <c:idx val="0"/>
              <c:layout>
                <c:manualLayout>
                  <c:x val="5.5401662049861496E-3"/>
                  <c:y val="-5.976521480743151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1D-474D-B4B2-6763C54E73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1D-474D-B4B2-6763C54E7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Preamp_bandwidth!$X$56:$X$57</c:f>
              <c:numCache>
                <c:formatCode>0.00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Preamp_bandwidth!$Y$56:$Y$57</c:f>
              <c:numCache>
                <c:formatCode>0.00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11D-474D-B4B2-6763C54E7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valAx>
        <c:axId val="13882468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frequency [kHz] </a:t>
                </a:r>
              </a:p>
            </c:rich>
          </c:tx>
          <c:layout>
            <c:manualLayout>
              <c:xMode val="edge"/>
              <c:yMode val="edge"/>
              <c:x val="0.5169188823696208"/>
              <c:y val="0.9132171881799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415"/>
        <c:crosses val="autoZero"/>
        <c:crossBetween val="midCat"/>
      </c:valAx>
      <c:valAx>
        <c:axId val="13882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Av=Upp</a:t>
                </a:r>
                <a:r>
                  <a:rPr lang="pl-PL" baseline="0"/>
                  <a:t>out/Uppin [dB]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542925</xdr:colOff>
      <xdr:row>6</xdr:row>
      <xdr:rowOff>114301</xdr:rowOff>
    </xdr:from>
    <xdr:to>
      <xdr:col>37</xdr:col>
      <xdr:colOff>104775</xdr:colOff>
      <xdr:row>30</xdr:row>
      <xdr:rowOff>4763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1E3141D-0EF3-26DE-DD51-40E2B8D3A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371475</xdr:colOff>
      <xdr:row>31</xdr:row>
      <xdr:rowOff>114300</xdr:rowOff>
    </xdr:from>
    <xdr:to>
      <xdr:col>37</xdr:col>
      <xdr:colOff>542925</xdr:colOff>
      <xdr:row>55</xdr:row>
      <xdr:rowOff>4762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EF1996-116A-49D2-B734-EA5B6A234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8416-7DB1-4FA4-BC75-17F12518C0CD}">
  <dimension ref="B3:M25"/>
  <sheetViews>
    <sheetView workbookViewId="0">
      <selection activeCell="O19" sqref="O19"/>
    </sheetView>
  </sheetViews>
  <sheetFormatPr defaultRowHeight="15" x14ac:dyDescent="0.25"/>
  <cols>
    <col min="12" max="12" width="12" bestFit="1" customWidth="1"/>
  </cols>
  <sheetData>
    <row r="3" spans="2:13" x14ac:dyDescent="0.25">
      <c r="I3" s="2">
        <v>10.48</v>
      </c>
      <c r="J3" t="s">
        <v>4</v>
      </c>
    </row>
    <row r="4" spans="2:13" x14ac:dyDescent="0.25">
      <c r="I4" s="2">
        <v>4.4000000000000004</v>
      </c>
      <c r="J4" t="s">
        <v>5</v>
      </c>
    </row>
    <row r="5" spans="2:13" x14ac:dyDescent="0.25">
      <c r="B5" t="s">
        <v>0</v>
      </c>
      <c r="C5" t="s">
        <v>1</v>
      </c>
      <c r="D5" t="s">
        <v>3</v>
      </c>
      <c r="E5" t="s">
        <v>2</v>
      </c>
    </row>
    <row r="6" spans="2:13" x14ac:dyDescent="0.25">
      <c r="B6" s="2">
        <v>9.6300000000000008</v>
      </c>
      <c r="C6" s="2">
        <v>8.31</v>
      </c>
      <c r="D6" s="2">
        <f>B6-C6</f>
        <v>1.3200000000000003</v>
      </c>
      <c r="E6" s="2">
        <f>D6/3</f>
        <v>0.44000000000000011</v>
      </c>
    </row>
    <row r="7" spans="2:13" x14ac:dyDescent="0.25">
      <c r="B7" s="2">
        <v>11.67</v>
      </c>
      <c r="C7" s="2">
        <v>10.31</v>
      </c>
      <c r="D7" s="2">
        <f>B7-C7</f>
        <v>1.3599999999999994</v>
      </c>
      <c r="E7" s="2">
        <f>D7/3</f>
        <v>0.45333333333333314</v>
      </c>
      <c r="I7" t="s">
        <v>7</v>
      </c>
      <c r="J7" t="s">
        <v>8</v>
      </c>
      <c r="L7" t="s">
        <v>9</v>
      </c>
    </row>
    <row r="8" spans="2:13" x14ac:dyDescent="0.25">
      <c r="B8" s="2">
        <v>13.11</v>
      </c>
      <c r="C8" s="2">
        <v>11.74</v>
      </c>
      <c r="D8" s="2">
        <f>B8-C8</f>
        <v>1.3699999999999992</v>
      </c>
      <c r="E8" s="2">
        <f>D8/3</f>
        <v>0.45666666666666639</v>
      </c>
    </row>
    <row r="9" spans="2:13" x14ac:dyDescent="0.25">
      <c r="B9" s="2">
        <v>13.8</v>
      </c>
      <c r="C9" s="2">
        <v>12.4</v>
      </c>
      <c r="D9" s="2">
        <f>B9-C9</f>
        <v>1.4000000000000004</v>
      </c>
      <c r="E9" s="2">
        <f>D9/3</f>
        <v>0.46666666666666679</v>
      </c>
      <c r="I9">
        <v>2.2000000000000002</v>
      </c>
      <c r="J9">
        <v>116</v>
      </c>
      <c r="L9">
        <f>(1/((2*PI()*J9*10^3)^2*I9*10^-9))*1000</f>
        <v>0.85566073635905715</v>
      </c>
    </row>
    <row r="10" spans="2:13" x14ac:dyDescent="0.25">
      <c r="B10" s="2">
        <v>14.66</v>
      </c>
      <c r="C10" s="2">
        <v>13.28</v>
      </c>
      <c r="D10" s="2">
        <f>B10-C10</f>
        <v>1.3800000000000008</v>
      </c>
      <c r="E10" s="2">
        <f>D10/3</f>
        <v>0.46000000000000024</v>
      </c>
      <c r="I10">
        <v>4.4000000000000004</v>
      </c>
      <c r="J10">
        <v>79</v>
      </c>
      <c r="L10">
        <f>(1/((2*PI()*J10*10^3)^2*I10*10^-9))*1000</f>
        <v>0.92242996863062587</v>
      </c>
    </row>
    <row r="11" spans="2:13" x14ac:dyDescent="0.25">
      <c r="B11" s="2"/>
      <c r="C11" s="2"/>
      <c r="I11">
        <v>22</v>
      </c>
      <c r="J11">
        <v>20</v>
      </c>
      <c r="L11">
        <f>(1/((2*PI()*J11*10^3)^2*I11*10^-9))*1000</f>
        <v>2.8784427171118687</v>
      </c>
    </row>
    <row r="12" spans="2:13" x14ac:dyDescent="0.25">
      <c r="B12" s="2"/>
      <c r="C12" s="2"/>
      <c r="I12">
        <v>0.01</v>
      </c>
      <c r="J12">
        <v>500</v>
      </c>
      <c r="L12">
        <f>(1/((2*PI()*J12*10^3)^2*I12*10^-9))*1000</f>
        <v>10.132118364233779</v>
      </c>
      <c r="M12" t="s">
        <v>10</v>
      </c>
    </row>
    <row r="15" spans="2:13" x14ac:dyDescent="0.25">
      <c r="I15" s="1"/>
    </row>
    <row r="18" spans="9:12" x14ac:dyDescent="0.25">
      <c r="I18">
        <v>138</v>
      </c>
      <c r="J18">
        <f>10^-(3/20)</f>
        <v>0.70794578438413791</v>
      </c>
    </row>
    <row r="20" spans="9:12" x14ac:dyDescent="0.25">
      <c r="I20">
        <f>I18*J18</f>
        <v>97.696518245011035</v>
      </c>
    </row>
    <row r="22" spans="9:12" x14ac:dyDescent="0.25">
      <c r="K22">
        <f>138/31.5</f>
        <v>4.3809523809523814</v>
      </c>
    </row>
    <row r="25" spans="9:12" x14ac:dyDescent="0.25">
      <c r="J25">
        <f>10.48/2.47</f>
        <v>4.2429149797570851</v>
      </c>
      <c r="L25">
        <f>SQRT(10.5/2.5)</f>
        <v>2.0493901531919199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B08E-F7FE-4A30-9997-7931476CFA36}">
  <dimension ref="B2:Z57"/>
  <sheetViews>
    <sheetView tabSelected="1" topLeftCell="M21" workbookViewId="0">
      <selection activeCell="T49" sqref="T49"/>
    </sheetView>
  </sheetViews>
  <sheetFormatPr defaultRowHeight="15" x14ac:dyDescent="0.25"/>
  <cols>
    <col min="4" max="4" width="10.85546875" customWidth="1"/>
    <col min="19" max="19" width="9.7109375" bestFit="1" customWidth="1"/>
    <col min="20" max="20" width="14.28515625" customWidth="1"/>
    <col min="21" max="21" width="15.7109375" customWidth="1"/>
    <col min="22" max="22" width="13.28515625" customWidth="1"/>
    <col min="23" max="23" width="13.140625" customWidth="1"/>
  </cols>
  <sheetData>
    <row r="2" spans="2:25" x14ac:dyDescent="0.25">
      <c r="B2" s="4" t="s">
        <v>11</v>
      </c>
    </row>
    <row r="5" spans="2:25" x14ac:dyDescent="0.25">
      <c r="B5" t="s">
        <v>12</v>
      </c>
    </row>
    <row r="7" spans="2:25" x14ac:dyDescent="0.25">
      <c r="B7" t="s">
        <v>14</v>
      </c>
      <c r="X7" t="s">
        <v>31</v>
      </c>
    </row>
    <row r="8" spans="2:25" x14ac:dyDescent="0.25">
      <c r="B8" t="s">
        <v>13</v>
      </c>
      <c r="R8" t="s">
        <v>23</v>
      </c>
      <c r="S8" t="s">
        <v>26</v>
      </c>
      <c r="T8" t="s">
        <v>27</v>
      </c>
      <c r="U8" t="s">
        <v>35</v>
      </c>
      <c r="V8" t="s">
        <v>28</v>
      </c>
      <c r="X8" t="s">
        <v>23</v>
      </c>
      <c r="Y8" t="s">
        <v>26</v>
      </c>
    </row>
    <row r="9" spans="2:25" x14ac:dyDescent="0.25">
      <c r="R9" s="3">
        <v>2</v>
      </c>
      <c r="S9" s="2">
        <v>0.13400000000000001</v>
      </c>
      <c r="T9" s="2">
        <f t="shared" ref="T9:T23" si="0">20*LOG(S9/(10^-3))</f>
        <v>42.542095967296156</v>
      </c>
      <c r="U9" s="2">
        <f>20*LOG(S9/0.006)</f>
        <v>26.979070959623282</v>
      </c>
      <c r="V9" s="2">
        <f t="shared" ref="V9:V18" si="1">T9-$T$25</f>
        <v>-25.276606174771437</v>
      </c>
      <c r="X9" s="2">
        <v>1</v>
      </c>
      <c r="Y9" s="2">
        <v>1.7416799999999999</v>
      </c>
    </row>
    <row r="10" spans="2:25" x14ac:dyDescent="0.25">
      <c r="R10" s="3">
        <v>3</v>
      </c>
      <c r="S10" s="2">
        <v>0.33400000000000002</v>
      </c>
      <c r="T10" s="2">
        <f t="shared" si="0"/>
        <v>50.474929336231291</v>
      </c>
      <c r="U10" s="2">
        <f t="shared" ref="U10:U40" si="2">20*LOG(S10/0.006)</f>
        <v>34.911904328558421</v>
      </c>
      <c r="V10" s="2">
        <f t="shared" si="1"/>
        <v>-17.343772805836302</v>
      </c>
      <c r="X10" s="2">
        <v>100</v>
      </c>
      <c r="Y10" s="2">
        <f>0.708*$S$25</f>
        <v>1.7416799999999999</v>
      </c>
    </row>
    <row r="11" spans="2:25" x14ac:dyDescent="0.25">
      <c r="B11" t="s">
        <v>25</v>
      </c>
      <c r="R11" s="3">
        <v>4</v>
      </c>
      <c r="S11" s="2">
        <v>0.57999999999999996</v>
      </c>
      <c r="T11" s="2">
        <f t="shared" si="0"/>
        <v>55.268559871258745</v>
      </c>
      <c r="U11" s="2">
        <f t="shared" si="2"/>
        <v>39.705534863585875</v>
      </c>
      <c r="V11" s="2">
        <f t="shared" si="1"/>
        <v>-12.550142270808848</v>
      </c>
    </row>
    <row r="12" spans="2:25" x14ac:dyDescent="0.25">
      <c r="R12" s="3">
        <v>5</v>
      </c>
      <c r="S12" s="2">
        <v>0.84</v>
      </c>
      <c r="T12" s="2">
        <f t="shared" si="0"/>
        <v>58.485585721237634</v>
      </c>
      <c r="U12" s="2">
        <f t="shared" si="2"/>
        <v>42.922560713564764</v>
      </c>
      <c r="V12" s="2">
        <f t="shared" si="1"/>
        <v>-9.3331164208299597</v>
      </c>
      <c r="X12" t="s">
        <v>32</v>
      </c>
    </row>
    <row r="13" spans="2:25" x14ac:dyDescent="0.25">
      <c r="B13" t="s">
        <v>15</v>
      </c>
      <c r="R13" s="3">
        <v>6</v>
      </c>
      <c r="S13" s="2">
        <v>1.08</v>
      </c>
      <c r="T13" s="2">
        <f t="shared" si="0"/>
        <v>60.668475109738999</v>
      </c>
      <c r="U13" s="2">
        <f t="shared" si="2"/>
        <v>45.105450102066122</v>
      </c>
      <c r="V13" s="2">
        <f t="shared" si="1"/>
        <v>-7.1502270323285941</v>
      </c>
      <c r="X13" s="2">
        <v>1</v>
      </c>
      <c r="Y13" s="2">
        <f>S25</f>
        <v>2.46</v>
      </c>
    </row>
    <row r="14" spans="2:25" x14ac:dyDescent="0.25">
      <c r="R14" s="3">
        <v>7</v>
      </c>
      <c r="S14" s="2">
        <v>1.3</v>
      </c>
      <c r="T14" s="2">
        <f t="shared" si="0"/>
        <v>62.278867046136739</v>
      </c>
      <c r="U14" s="2">
        <f t="shared" si="2"/>
        <v>46.715842038463862</v>
      </c>
      <c r="V14" s="2">
        <f t="shared" si="1"/>
        <v>-5.5398350959308544</v>
      </c>
      <c r="X14" s="2">
        <v>100</v>
      </c>
      <c r="Y14" s="2">
        <f>S25</f>
        <v>2.46</v>
      </c>
    </row>
    <row r="15" spans="2:25" x14ac:dyDescent="0.25">
      <c r="B15" t="s">
        <v>16</v>
      </c>
      <c r="R15" s="3">
        <v>8</v>
      </c>
      <c r="S15" s="2">
        <v>1.5</v>
      </c>
      <c r="T15" s="2">
        <f t="shared" si="0"/>
        <v>63.521825181113627</v>
      </c>
      <c r="U15" s="2">
        <f t="shared" si="2"/>
        <v>47.95880017344075</v>
      </c>
      <c r="V15" s="2">
        <f t="shared" si="1"/>
        <v>-4.2968769609539663</v>
      </c>
    </row>
    <row r="16" spans="2:25" x14ac:dyDescent="0.25">
      <c r="B16" s="5" t="s">
        <v>18</v>
      </c>
      <c r="R16" s="9">
        <v>9.4</v>
      </c>
      <c r="S16" s="10">
        <f>0.708*$S$25</f>
        <v>1.7416799999999999</v>
      </c>
      <c r="T16" s="10">
        <f t="shared" si="0"/>
        <v>64.819367295862961</v>
      </c>
      <c r="U16" s="2">
        <f t="shared" si="2"/>
        <v>49.256342288190083</v>
      </c>
      <c r="V16" s="10">
        <f t="shared" si="1"/>
        <v>-2.9993348462046328</v>
      </c>
    </row>
    <row r="17" spans="2:26" x14ac:dyDescent="0.25">
      <c r="B17" s="5" t="s">
        <v>17</v>
      </c>
      <c r="R17" s="3">
        <v>10</v>
      </c>
      <c r="S17" s="2">
        <v>1.88</v>
      </c>
      <c r="T17" s="2">
        <f t="shared" si="0"/>
        <v>65.483156985273595</v>
      </c>
      <c r="U17" s="2">
        <f t="shared" si="2"/>
        <v>49.920131977600725</v>
      </c>
      <c r="V17" s="2">
        <f t="shared" si="1"/>
        <v>-2.335545156793998</v>
      </c>
      <c r="X17" t="s">
        <v>6</v>
      </c>
    </row>
    <row r="18" spans="2:26" x14ac:dyDescent="0.25">
      <c r="B18" s="5" t="s">
        <v>19</v>
      </c>
      <c r="F18" t="s">
        <v>36</v>
      </c>
      <c r="R18" s="3">
        <v>11</v>
      </c>
      <c r="S18" s="2">
        <v>2</v>
      </c>
      <c r="T18" s="2">
        <f t="shared" si="0"/>
        <v>66.020599913279625</v>
      </c>
      <c r="U18" s="2">
        <f t="shared" si="2"/>
        <v>50.457574905606748</v>
      </c>
      <c r="V18" s="2">
        <f t="shared" si="1"/>
        <v>-1.7981022287879682</v>
      </c>
      <c r="X18" s="2">
        <v>17.2</v>
      </c>
      <c r="Y18" s="2">
        <v>0</v>
      </c>
    </row>
    <row r="19" spans="2:26" x14ac:dyDescent="0.25">
      <c r="R19" s="3">
        <v>12</v>
      </c>
      <c r="S19" s="2">
        <v>2.12</v>
      </c>
      <c r="T19" s="2">
        <f t="shared" si="0"/>
        <v>66.52671721857503</v>
      </c>
      <c r="U19" s="2">
        <f t="shared" si="2"/>
        <v>50.963692210902153</v>
      </c>
      <c r="V19" s="2">
        <f t="shared" ref="V19:V23" si="3">T19-$T$25</f>
        <v>-1.2919849234925636</v>
      </c>
      <c r="X19" s="2">
        <v>17.2</v>
      </c>
      <c r="Y19" s="2">
        <v>2.6</v>
      </c>
    </row>
    <row r="20" spans="2:26" x14ac:dyDescent="0.25">
      <c r="B20" s="6" t="s">
        <v>20</v>
      </c>
      <c r="R20" s="3">
        <v>13</v>
      </c>
      <c r="S20" s="2">
        <v>2.2200000000000002</v>
      </c>
      <c r="T20" s="2">
        <f t="shared" si="0"/>
        <v>66.927059489012777</v>
      </c>
      <c r="U20" s="2">
        <f t="shared" si="2"/>
        <v>51.3640344813399</v>
      </c>
      <c r="V20" s="2">
        <f t="shared" si="3"/>
        <v>-0.89164265305481649</v>
      </c>
    </row>
    <row r="21" spans="2:26" x14ac:dyDescent="0.25">
      <c r="R21" s="3">
        <v>14</v>
      </c>
      <c r="S21" s="2">
        <v>2.2999999999999998</v>
      </c>
      <c r="T21" s="2">
        <f t="shared" si="0"/>
        <v>67.234556720351861</v>
      </c>
      <c r="U21" s="2">
        <f t="shared" si="2"/>
        <v>51.671531712678984</v>
      </c>
      <c r="V21" s="2">
        <f t="shared" si="3"/>
        <v>-0.58414542171573203</v>
      </c>
      <c r="X21" t="s">
        <v>33</v>
      </c>
    </row>
    <row r="22" spans="2:26" x14ac:dyDescent="0.25">
      <c r="B22" t="s">
        <v>21</v>
      </c>
      <c r="R22" s="3">
        <v>15</v>
      </c>
      <c r="S22" s="2">
        <v>2.36</v>
      </c>
      <c r="T22" s="2">
        <f t="shared" si="0"/>
        <v>67.458240059402129</v>
      </c>
      <c r="U22" s="2">
        <f t="shared" si="2"/>
        <v>51.895215051729259</v>
      </c>
      <c r="V22" s="2">
        <f t="shared" si="3"/>
        <v>-0.36046208266546387</v>
      </c>
      <c r="X22" s="2">
        <v>9.4</v>
      </c>
      <c r="Y22" s="2">
        <v>0</v>
      </c>
    </row>
    <row r="23" spans="2:26" x14ac:dyDescent="0.25">
      <c r="R23" s="3">
        <v>16</v>
      </c>
      <c r="S23" s="2">
        <v>2.4</v>
      </c>
      <c r="T23" s="2">
        <f t="shared" si="0"/>
        <v>67.604224834232113</v>
      </c>
      <c r="U23" s="2">
        <f t="shared" si="2"/>
        <v>52.04119982655925</v>
      </c>
      <c r="V23" s="2">
        <f t="shared" si="3"/>
        <v>-0.21447730783548025</v>
      </c>
      <c r="X23" s="2">
        <v>9.4</v>
      </c>
      <c r="Y23" s="2">
        <v>1.9</v>
      </c>
    </row>
    <row r="24" spans="2:26" x14ac:dyDescent="0.25">
      <c r="B24" t="s">
        <v>29</v>
      </c>
      <c r="R24" s="3">
        <v>17</v>
      </c>
      <c r="S24" s="2">
        <v>2.42</v>
      </c>
      <c r="T24" s="2">
        <f>20*LOG(S24/(10^-3))</f>
        <v>67.676307319608625</v>
      </c>
      <c r="U24" s="2">
        <f t="shared" si="2"/>
        <v>52.113282311935755</v>
      </c>
      <c r="V24" s="2">
        <f>T24-$T$25</f>
        <v>-0.14239482245896795</v>
      </c>
    </row>
    <row r="25" spans="2:26" x14ac:dyDescent="0.25">
      <c r="R25" s="7">
        <v>17.2</v>
      </c>
      <c r="S25" s="8">
        <v>2.46</v>
      </c>
      <c r="T25" s="8">
        <f>20*LOG(S25/(10^-3))</f>
        <v>67.818702142067593</v>
      </c>
      <c r="U25" s="2">
        <f t="shared" si="2"/>
        <v>52.255677134394709</v>
      </c>
      <c r="V25" s="8">
        <f>T25-$T$25</f>
        <v>0</v>
      </c>
      <c r="X25" t="s">
        <v>34</v>
      </c>
    </row>
    <row r="26" spans="2:26" x14ac:dyDescent="0.25">
      <c r="B26" t="s">
        <v>30</v>
      </c>
      <c r="R26" s="3">
        <v>18</v>
      </c>
      <c r="S26" s="2">
        <v>2.46</v>
      </c>
      <c r="T26" s="2">
        <f>20*LOG(S26/(10^-3))</f>
        <v>67.818702142067593</v>
      </c>
      <c r="U26" s="2">
        <f t="shared" si="2"/>
        <v>52.255677134394709</v>
      </c>
      <c r="V26" s="2">
        <f>T26-$T$25</f>
        <v>0</v>
      </c>
      <c r="X26" s="2">
        <v>32</v>
      </c>
      <c r="Y26" s="2">
        <v>0</v>
      </c>
    </row>
    <row r="27" spans="2:26" x14ac:dyDescent="0.25">
      <c r="R27" s="3">
        <v>20</v>
      </c>
      <c r="S27" s="2">
        <v>2.42</v>
      </c>
      <c r="T27" s="2">
        <f>20*LOG(S27/(10^-3))</f>
        <v>67.676307319608625</v>
      </c>
      <c r="U27" s="2">
        <f t="shared" si="2"/>
        <v>52.113282311935755</v>
      </c>
      <c r="V27" s="2">
        <f>T27-$T$25</f>
        <v>-0.14239482245896795</v>
      </c>
      <c r="X27" s="2">
        <v>32</v>
      </c>
      <c r="Y27" s="2">
        <v>1.9</v>
      </c>
    </row>
    <row r="28" spans="2:26" x14ac:dyDescent="0.25">
      <c r="B28" t="s">
        <v>22</v>
      </c>
      <c r="R28" s="3">
        <v>22</v>
      </c>
      <c r="S28" s="2">
        <v>2.4</v>
      </c>
      <c r="T28" s="2">
        <f>20*LOG(S28/(10^-3))</f>
        <v>67.604224834232113</v>
      </c>
      <c r="U28" s="2">
        <f t="shared" si="2"/>
        <v>52.04119982655925</v>
      </c>
      <c r="V28" s="2">
        <f>T28-$T$25</f>
        <v>-0.21447730783548025</v>
      </c>
    </row>
    <row r="29" spans="2:26" x14ac:dyDescent="0.25">
      <c r="R29" s="3">
        <v>24</v>
      </c>
      <c r="S29">
        <v>2.2799999999999998</v>
      </c>
      <c r="T29" s="2">
        <f t="shared" ref="T29:T32" si="4">20*LOG(S29/(10^-3))</f>
        <v>67.158696940009065</v>
      </c>
      <c r="U29" s="2">
        <f t="shared" si="2"/>
        <v>51.595671932336202</v>
      </c>
      <c r="V29" s="2">
        <f t="shared" ref="V29:V32" si="5">T29-$T$25</f>
        <v>-0.66000520205852808</v>
      </c>
    </row>
    <row r="30" spans="2:26" x14ac:dyDescent="0.25">
      <c r="B30" t="s">
        <v>24</v>
      </c>
      <c r="R30" s="3">
        <v>26</v>
      </c>
      <c r="S30">
        <v>2.14</v>
      </c>
      <c r="T30" s="2">
        <f t="shared" si="4"/>
        <v>66.608275466983827</v>
      </c>
      <c r="U30" s="2">
        <f t="shared" si="2"/>
        <v>51.045250459310942</v>
      </c>
      <c r="V30" s="2">
        <f t="shared" si="5"/>
        <v>-1.2104266750837667</v>
      </c>
    </row>
    <row r="31" spans="2:26" x14ac:dyDescent="0.25">
      <c r="R31" s="3">
        <v>28</v>
      </c>
      <c r="S31">
        <v>2.04</v>
      </c>
      <c r="T31" s="2">
        <f t="shared" si="4"/>
        <v>66.192603348517977</v>
      </c>
      <c r="U31" s="2">
        <f t="shared" si="2"/>
        <v>50.6295783408451</v>
      </c>
      <c r="V31" s="2">
        <f t="shared" si="5"/>
        <v>-1.6260987935496161</v>
      </c>
    </row>
    <row r="32" spans="2:26" x14ac:dyDescent="0.25">
      <c r="R32" s="3">
        <v>30</v>
      </c>
      <c r="S32">
        <v>1.9</v>
      </c>
      <c r="T32" s="2">
        <f t="shared" si="4"/>
        <v>65.575072019056577</v>
      </c>
      <c r="U32" s="2">
        <f t="shared" si="2"/>
        <v>50.012047011383707</v>
      </c>
      <c r="V32" s="2">
        <f t="shared" si="5"/>
        <v>-2.2436301230110161</v>
      </c>
      <c r="Y32" s="12">
        <f>Y33+Z33</f>
        <v>22.6</v>
      </c>
      <c r="Z32" s="13"/>
    </row>
    <row r="33" spans="2:26" x14ac:dyDescent="0.25">
      <c r="R33" s="9">
        <v>32</v>
      </c>
      <c r="S33" s="10">
        <f>0.708*$S$25</f>
        <v>1.7416799999999999</v>
      </c>
      <c r="T33" s="10">
        <f t="shared" ref="T33:T40" si="6">20*LOG(S33/(10^-3))</f>
        <v>64.819367295862961</v>
      </c>
      <c r="U33" s="2">
        <f t="shared" si="2"/>
        <v>49.256342288190083</v>
      </c>
      <c r="V33" s="10">
        <f t="shared" ref="V33:V40" si="7">T33-$T$25</f>
        <v>-2.9993348462046328</v>
      </c>
      <c r="Y33" s="3">
        <f>R25-R16</f>
        <v>7.7999999999999989</v>
      </c>
      <c r="Z33" s="3">
        <f>R33-R25</f>
        <v>14.8</v>
      </c>
    </row>
    <row r="34" spans="2:26" x14ac:dyDescent="0.25">
      <c r="B34">
        <f>20*LOG(6/1)</f>
        <v>15.563025007672874</v>
      </c>
      <c r="F34" s="2"/>
      <c r="R34" s="3">
        <v>40</v>
      </c>
      <c r="S34" s="2">
        <v>1.21</v>
      </c>
      <c r="T34" s="2">
        <f t="shared" si="6"/>
        <v>61.655707406329007</v>
      </c>
      <c r="U34" s="2">
        <f t="shared" si="2"/>
        <v>46.09268239865613</v>
      </c>
      <c r="V34" s="2">
        <f t="shared" si="7"/>
        <v>-6.1629947357385859</v>
      </c>
    </row>
    <row r="35" spans="2:26" x14ac:dyDescent="0.25">
      <c r="R35" s="3">
        <v>50</v>
      </c>
      <c r="S35" s="2">
        <v>0.752</v>
      </c>
      <c r="T35" s="2">
        <f t="shared" si="6"/>
        <v>57.524356811832845</v>
      </c>
      <c r="U35" s="2">
        <f t="shared" si="2"/>
        <v>41.961331804159975</v>
      </c>
      <c r="V35" s="2">
        <f t="shared" si="7"/>
        <v>-10.294345330234748</v>
      </c>
    </row>
    <row r="36" spans="2:26" x14ac:dyDescent="0.25">
      <c r="R36" s="3">
        <v>60</v>
      </c>
      <c r="S36" s="2">
        <v>0.48</v>
      </c>
      <c r="T36" s="2">
        <f t="shared" si="6"/>
        <v>53.624824747511745</v>
      </c>
      <c r="U36" s="2">
        <f t="shared" si="2"/>
        <v>38.061799739838868</v>
      </c>
      <c r="V36" s="2">
        <f t="shared" si="7"/>
        <v>-14.193877394555848</v>
      </c>
    </row>
    <row r="37" spans="2:26" x14ac:dyDescent="0.25">
      <c r="R37" s="3">
        <v>70</v>
      </c>
      <c r="S37" s="2">
        <v>0.316</v>
      </c>
      <c r="T37" s="2">
        <f t="shared" si="6"/>
        <v>49.99374165236808</v>
      </c>
      <c r="U37" s="2">
        <f t="shared" si="2"/>
        <v>34.430716644695202</v>
      </c>
      <c r="V37" s="2">
        <f t="shared" si="7"/>
        <v>-17.824960489699514</v>
      </c>
      <c r="X37" t="s">
        <v>31</v>
      </c>
    </row>
    <row r="38" spans="2:26" x14ac:dyDescent="0.25">
      <c r="R38" s="3">
        <v>80</v>
      </c>
      <c r="S38" s="2">
        <v>0.224</v>
      </c>
      <c r="T38" s="2">
        <f t="shared" si="6"/>
        <v>47.004960366683257</v>
      </c>
      <c r="U38" s="2">
        <f t="shared" si="2"/>
        <v>31.441935359010383</v>
      </c>
      <c r="V38" s="2">
        <f t="shared" si="7"/>
        <v>-20.813741775384337</v>
      </c>
      <c r="X38" t="s">
        <v>23</v>
      </c>
      <c r="Y38" s="11" t="s">
        <v>37</v>
      </c>
    </row>
    <row r="39" spans="2:26" x14ac:dyDescent="0.25">
      <c r="R39" s="3">
        <v>90</v>
      </c>
      <c r="S39" s="2">
        <v>0.17</v>
      </c>
      <c r="T39" s="2">
        <f t="shared" si="6"/>
        <v>44.608978427565482</v>
      </c>
      <c r="U39" s="2">
        <f t="shared" si="2"/>
        <v>29.045953419892605</v>
      </c>
      <c r="V39" s="2">
        <f t="shared" si="7"/>
        <v>-23.209723714502111</v>
      </c>
      <c r="X39" s="2">
        <v>1</v>
      </c>
      <c r="Y39" s="2">
        <f>U25-3</f>
        <v>49.255677134394709</v>
      </c>
    </row>
    <row r="40" spans="2:26" x14ac:dyDescent="0.25">
      <c r="R40" s="3">
        <v>100</v>
      </c>
      <c r="S40" s="2">
        <v>0.122</v>
      </c>
      <c r="T40" s="2">
        <f t="shared" si="6"/>
        <v>41.727196613494968</v>
      </c>
      <c r="U40" s="2">
        <f t="shared" si="2"/>
        <v>26.164171605822091</v>
      </c>
      <c r="V40" s="2">
        <f t="shared" si="7"/>
        <v>-26.091505528572625</v>
      </c>
      <c r="X40" s="2">
        <v>100</v>
      </c>
      <c r="Y40" s="2">
        <f>U25-3</f>
        <v>49.255677134394709</v>
      </c>
    </row>
    <row r="42" spans="2:26" x14ac:dyDescent="0.25">
      <c r="X42" t="s">
        <v>32</v>
      </c>
    </row>
    <row r="43" spans="2:26" x14ac:dyDescent="0.25">
      <c r="X43" s="2">
        <v>1</v>
      </c>
      <c r="Y43" s="2">
        <f>U25</f>
        <v>52.255677134394709</v>
      </c>
    </row>
    <row r="44" spans="2:26" x14ac:dyDescent="0.25">
      <c r="T44" s="2"/>
      <c r="X44" s="2">
        <v>100</v>
      </c>
      <c r="Y44" s="2">
        <f>U25</f>
        <v>52.255677134394709</v>
      </c>
    </row>
    <row r="47" spans="2:26" x14ac:dyDescent="0.25">
      <c r="X47" t="s">
        <v>6</v>
      </c>
    </row>
    <row r="48" spans="2:26" x14ac:dyDescent="0.25">
      <c r="X48" s="2">
        <v>17.2</v>
      </c>
      <c r="Y48" s="2">
        <v>0</v>
      </c>
    </row>
    <row r="49" spans="24:25" x14ac:dyDescent="0.25">
      <c r="X49" s="2">
        <v>17.2</v>
      </c>
      <c r="Y49" s="2">
        <v>55</v>
      </c>
    </row>
    <row r="51" spans="24:25" x14ac:dyDescent="0.25">
      <c r="X51" t="s">
        <v>33</v>
      </c>
    </row>
    <row r="52" spans="24:25" x14ac:dyDescent="0.25">
      <c r="X52" s="2">
        <v>9.4</v>
      </c>
      <c r="Y52" s="2">
        <v>0</v>
      </c>
    </row>
    <row r="53" spans="24:25" x14ac:dyDescent="0.25">
      <c r="X53" s="2">
        <v>9.4</v>
      </c>
      <c r="Y53" s="2">
        <v>55</v>
      </c>
    </row>
    <row r="55" spans="24:25" x14ac:dyDescent="0.25">
      <c r="X55" t="s">
        <v>34</v>
      </c>
    </row>
    <row r="56" spans="24:25" x14ac:dyDescent="0.25">
      <c r="X56" s="2">
        <v>32</v>
      </c>
      <c r="Y56" s="2">
        <v>0</v>
      </c>
    </row>
    <row r="57" spans="24:25" x14ac:dyDescent="0.25">
      <c r="X57" s="2">
        <v>32</v>
      </c>
      <c r="Y57" s="2">
        <v>55</v>
      </c>
    </row>
  </sheetData>
  <mergeCells count="1">
    <mergeCell ref="Y32:Z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Preamp_bandwidth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Mazur</dc:creator>
  <cp:lastModifiedBy>Andrzej Mazur</cp:lastModifiedBy>
  <dcterms:created xsi:type="dcterms:W3CDTF">2025-10-18T10:55:23Z</dcterms:created>
  <dcterms:modified xsi:type="dcterms:W3CDTF">2025-12-25T11:59:28Z</dcterms:modified>
</cp:coreProperties>
</file>